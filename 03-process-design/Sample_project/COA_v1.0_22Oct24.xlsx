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2. ARON TRAINING\Đại Thuận\TG3 - Design\BP080\"/>
    </mc:Choice>
  </mc:AlternateContent>
  <xr:revisionPtr revIDLastSave="0" documentId="13_ncr:1_{3871F3FF-DBAA-45F4-BEEA-629D21A3CEFC}" xr6:coauthVersionLast="47" xr6:coauthVersionMax="47" xr10:uidLastSave="{00000000-0000-0000-0000-000000000000}"/>
  <bookViews>
    <workbookView xWindow="-108" yWindow="-108" windowWidth="23256" windowHeight="12576" tabRatio="957" xr2:uid="{00000000-000D-0000-FFFF-FFFF00000000}"/>
  </bookViews>
  <sheets>
    <sheet name="Chart" sheetId="2" r:id="rId1"/>
    <sheet name="Seg 1_Công ty" sheetId="3" r:id="rId2"/>
    <sheet name="Seg 2_Account" sheetId="18" r:id="rId3"/>
    <sheet name="Seg 2 TK Ngoại bảng" sheetId="6" state="hidden" r:id="rId4"/>
    <sheet name="Seg 3 - Sub Acc" sheetId="7" state="hidden" r:id="rId5"/>
    <sheet name="Seg 4_Cost center-DeptSite1" sheetId="22" state="hidden" r:id="rId6"/>
    <sheet name="Seg 6_Khu vực" sheetId="9" state="hidden" r:id="rId7"/>
    <sheet name="Seg 4_Location" sheetId="10" state="hidden" r:id="rId8"/>
    <sheet name="Seg 4_Cost center-SiteDept" sheetId="16" state="hidden" r:id="rId9"/>
    <sheet name="Bank R" sheetId="8" r:id="rId10"/>
    <sheet name="Bo phan" sheetId="21" r:id="rId11"/>
  </sheets>
  <externalReferences>
    <externalReference r:id="rId12"/>
  </externalReferences>
  <definedNames>
    <definedName name="_xlnm._FilterDatabase" localSheetId="2" hidden="1">'Seg 2_Account'!$A$4:$N$482</definedName>
    <definedName name="_xlnm._FilterDatabase" localSheetId="4" hidden="1">'Seg 3 - Sub Acc'!$A$3:$Y$988</definedName>
    <definedName name="_xlnm._FilterDatabase" localSheetId="5" hidden="1">'Seg 4_Cost center-DeptSite1'!$A$4:$AD$787</definedName>
    <definedName name="_xlnm._FilterDatabase" localSheetId="8" hidden="1">'Seg 4_Cost center-SiteDept'!$A$4:$E$17</definedName>
    <definedName name="_xlnm._FilterDatabase" localSheetId="7" hidden="1">'Seg 4_Location'!$A$4:$E$162</definedName>
    <definedName name="_xlnm._FilterDatabase" localSheetId="6" hidden="1">'Seg 6_Khu vực'!$A$3:$F$25</definedName>
    <definedName name="_T01">#REF!</definedName>
  </definedNames>
  <calcPr calcId="181029"/>
</workbook>
</file>

<file path=xl/calcChain.xml><?xml version="1.0" encoding="utf-8"?>
<calcChain xmlns="http://schemas.openxmlformats.org/spreadsheetml/2006/main">
  <c r="B58" i="18" l="1"/>
  <c r="B246" i="18" l="1"/>
  <c r="B482" i="18" l="1"/>
  <c r="B481" i="18"/>
  <c r="B480" i="18"/>
  <c r="B479" i="18"/>
  <c r="B478" i="18"/>
  <c r="B477" i="18"/>
  <c r="B476" i="18"/>
  <c r="B475" i="18"/>
  <c r="B474" i="18"/>
  <c r="B473" i="18"/>
  <c r="B472" i="18"/>
  <c r="B471" i="18"/>
  <c r="B470" i="18"/>
  <c r="B469" i="18"/>
  <c r="B468" i="18"/>
  <c r="B467" i="18"/>
  <c r="B466" i="18"/>
  <c r="B465" i="18"/>
  <c r="B464" i="18"/>
  <c r="B463" i="18"/>
  <c r="B462" i="18"/>
  <c r="B461" i="18"/>
  <c r="B460" i="18"/>
  <c r="B459" i="18"/>
  <c r="B458" i="18"/>
  <c r="B457" i="18"/>
  <c r="B456" i="18"/>
  <c r="B455" i="18"/>
  <c r="B454" i="18"/>
  <c r="B453" i="18"/>
  <c r="B452" i="18"/>
  <c r="B451" i="18"/>
  <c r="B450" i="18"/>
  <c r="B449" i="18"/>
  <c r="B448" i="18"/>
  <c r="B447" i="18"/>
  <c r="B446" i="18"/>
  <c r="B445" i="18"/>
  <c r="B444" i="18"/>
  <c r="B443" i="18"/>
  <c r="B442" i="18"/>
  <c r="B441" i="18"/>
  <c r="B440" i="18"/>
  <c r="B439" i="18"/>
  <c r="B438" i="18"/>
  <c r="B437" i="18"/>
  <c r="B436" i="18"/>
  <c r="B435" i="18"/>
  <c r="B434" i="18"/>
  <c r="B433" i="18"/>
  <c r="B432" i="18"/>
  <c r="B431" i="18"/>
  <c r="B430" i="18"/>
  <c r="B429" i="18"/>
  <c r="B428" i="18"/>
  <c r="B427" i="18"/>
  <c r="B426" i="18"/>
  <c r="B425" i="18"/>
  <c r="B424" i="18"/>
  <c r="B423" i="18"/>
  <c r="B422" i="18"/>
  <c r="B421" i="18"/>
  <c r="B420" i="18"/>
  <c r="B419" i="18"/>
  <c r="B418" i="18"/>
  <c r="B417" i="18"/>
  <c r="B416" i="18"/>
  <c r="B415" i="18"/>
  <c r="B414" i="18"/>
  <c r="B413" i="18"/>
  <c r="B412" i="18"/>
  <c r="B411" i="18"/>
  <c r="B410" i="18"/>
  <c r="B409" i="18"/>
  <c r="B408" i="18"/>
  <c r="B407" i="18"/>
  <c r="B406" i="18"/>
  <c r="B405" i="18"/>
  <c r="B404" i="18"/>
  <c r="B403" i="18"/>
  <c r="B402" i="18"/>
  <c r="B401" i="18"/>
  <c r="B400" i="18"/>
  <c r="B399" i="18"/>
  <c r="B398" i="18"/>
  <c r="B397" i="18"/>
  <c r="B396" i="18"/>
  <c r="B395" i="18"/>
  <c r="B394" i="18"/>
  <c r="B393" i="18"/>
  <c r="B392" i="18"/>
  <c r="B391" i="18"/>
  <c r="B390" i="18"/>
  <c r="B389" i="18"/>
  <c r="B388" i="18"/>
  <c r="B387" i="18"/>
  <c r="B386" i="18"/>
  <c r="B385" i="18"/>
  <c r="B384" i="18"/>
  <c r="B383" i="18"/>
  <c r="B382" i="18"/>
  <c r="B381" i="18"/>
  <c r="B380" i="18"/>
  <c r="B379" i="18"/>
  <c r="B378" i="18"/>
  <c r="B377" i="18"/>
  <c r="B376" i="18"/>
  <c r="B375" i="18"/>
  <c r="B374" i="18"/>
  <c r="B373" i="18"/>
  <c r="B372" i="18"/>
  <c r="B371" i="18"/>
  <c r="B370" i="18"/>
  <c r="B369" i="18"/>
  <c r="B368" i="18"/>
  <c r="B367" i="18"/>
  <c r="B366" i="18"/>
  <c r="B365" i="18"/>
  <c r="B364" i="18"/>
  <c r="B363" i="18"/>
  <c r="B362" i="18"/>
  <c r="B361" i="18"/>
  <c r="B360" i="18"/>
  <c r="B359" i="18"/>
  <c r="B358" i="18"/>
  <c r="B357" i="18"/>
  <c r="B356" i="18"/>
  <c r="B355" i="18"/>
  <c r="B354" i="18"/>
  <c r="B353" i="18"/>
  <c r="B352" i="18"/>
  <c r="B351" i="18"/>
  <c r="B350" i="18"/>
  <c r="B349" i="18"/>
  <c r="B348" i="18"/>
  <c r="B347" i="18"/>
  <c r="B346" i="18"/>
  <c r="B345" i="18"/>
  <c r="B344" i="18"/>
  <c r="B343" i="18"/>
  <c r="B342" i="18"/>
  <c r="B341" i="18"/>
  <c r="B340" i="18"/>
  <c r="B339" i="18"/>
  <c r="B338" i="18"/>
  <c r="B337" i="18"/>
  <c r="B336" i="18"/>
  <c r="B335" i="18"/>
  <c r="B334" i="18"/>
  <c r="B333" i="18"/>
  <c r="B332" i="18"/>
  <c r="B331" i="18"/>
  <c r="B330" i="18"/>
  <c r="B329" i="18"/>
  <c r="B328" i="18"/>
  <c r="B327" i="18"/>
  <c r="B326" i="18"/>
  <c r="B325" i="18"/>
  <c r="B324" i="18"/>
  <c r="B323" i="18"/>
  <c r="B322" i="18"/>
  <c r="B321" i="18"/>
  <c r="B320" i="18"/>
  <c r="B319" i="18"/>
  <c r="B318" i="18"/>
  <c r="B317" i="18"/>
  <c r="B316" i="18"/>
  <c r="B315" i="18"/>
  <c r="B314" i="18"/>
  <c r="B313" i="18"/>
  <c r="B312" i="18"/>
  <c r="B311" i="18"/>
  <c r="B310" i="18"/>
  <c r="B309" i="18"/>
  <c r="B308" i="18"/>
  <c r="B307" i="18"/>
  <c r="B306" i="18"/>
  <c r="B305" i="18"/>
  <c r="B304" i="18"/>
  <c r="B303" i="18"/>
  <c r="B302" i="18"/>
  <c r="B301" i="18"/>
  <c r="B300" i="18"/>
  <c r="B299" i="18"/>
  <c r="B298" i="18"/>
  <c r="B297" i="18"/>
  <c r="B296" i="18"/>
  <c r="B295" i="18"/>
  <c r="B294" i="18"/>
  <c r="B293" i="18"/>
  <c r="B292" i="18"/>
  <c r="B291" i="18"/>
  <c r="B290" i="18"/>
  <c r="B289" i="18"/>
  <c r="B288" i="18"/>
  <c r="B287" i="18"/>
  <c r="B286" i="18"/>
  <c r="B285" i="18"/>
  <c r="B284" i="18"/>
  <c r="B283" i="18"/>
  <c r="B282" i="18"/>
  <c r="B281" i="18"/>
  <c r="B280" i="18"/>
  <c r="B279" i="18"/>
  <c r="B278" i="18"/>
  <c r="B277" i="18"/>
  <c r="B276" i="18"/>
  <c r="B275" i="18"/>
  <c r="B274" i="18"/>
  <c r="B273" i="18"/>
  <c r="B272" i="18"/>
  <c r="B271" i="18"/>
  <c r="B270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G24" i="7"/>
  <c r="H24" i="7" s="1"/>
  <c r="G21" i="7"/>
  <c r="H21" i="7" s="1"/>
  <c r="G20" i="7"/>
  <c r="H20" i="7" s="1"/>
  <c r="G102" i="7"/>
  <c r="G100" i="7"/>
  <c r="G75" i="7" l="1"/>
  <c r="H75" i="7" s="1"/>
  <c r="F75" i="7"/>
  <c r="F74" i="7"/>
  <c r="G74" i="7"/>
  <c r="H74" i="7" s="1"/>
  <c r="G68" i="7"/>
  <c r="C19" i="2" l="1"/>
  <c r="C20" i="2"/>
  <c r="G133" i="7" l="1"/>
  <c r="G141" i="7" s="1"/>
  <c r="H141" i="7" s="1"/>
  <c r="G128" i="7"/>
  <c r="H128" i="7" s="1"/>
  <c r="G127" i="7"/>
  <c r="H127" i="7" s="1"/>
  <c r="G115" i="7"/>
  <c r="G116" i="7" s="1"/>
  <c r="H116" i="7" s="1"/>
  <c r="G150" i="7"/>
  <c r="H150" i="7" s="1"/>
  <c r="G107" i="7"/>
  <c r="H107" i="7" s="1"/>
  <c r="G103" i="7"/>
  <c r="H103" i="7" s="1"/>
  <c r="G98" i="7"/>
  <c r="H98" i="7" s="1"/>
  <c r="G91" i="7"/>
  <c r="H91" i="7" s="1"/>
  <c r="G69" i="7"/>
  <c r="H69" i="7" s="1"/>
  <c r="H68" i="7"/>
  <c r="G65" i="7"/>
  <c r="H65" i="7" s="1"/>
  <c r="G64" i="7"/>
  <c r="H64" i="7" s="1"/>
  <c r="G117" i="7" l="1"/>
  <c r="H117" i="7" s="1"/>
  <c r="H115" i="7"/>
  <c r="H133" i="7"/>
  <c r="G134" i="7"/>
  <c r="H134" i="7" s="1"/>
  <c r="G149" i="7"/>
  <c r="H149" i="7" s="1"/>
  <c r="G113" i="7"/>
  <c r="H113" i="7" s="1"/>
  <c r="G112" i="7"/>
  <c r="H112" i="7" s="1"/>
  <c r="G111" i="7"/>
  <c r="H111" i="7" s="1"/>
  <c r="G110" i="7"/>
  <c r="H110" i="7" s="1"/>
  <c r="G109" i="7"/>
  <c r="H109" i="7" s="1"/>
  <c r="G108" i="7"/>
  <c r="H108" i="7" s="1"/>
  <c r="G105" i="7"/>
  <c r="H105" i="7" s="1"/>
  <c r="G104" i="7"/>
  <c r="H104" i="7" s="1"/>
  <c r="H102" i="7"/>
  <c r="H100" i="7"/>
  <c r="G101" i="7"/>
  <c r="H101" i="7" s="1"/>
  <c r="G99" i="7"/>
  <c r="H99" i="7" s="1"/>
  <c r="G96" i="7"/>
  <c r="H96" i="7" s="1"/>
  <c r="G95" i="7"/>
  <c r="H95" i="7" s="1"/>
  <c r="G94" i="7"/>
  <c r="H94" i="7" s="1"/>
  <c r="G93" i="7"/>
  <c r="H93" i="7" s="1"/>
  <c r="G92" i="7"/>
  <c r="H92" i="7" s="1"/>
  <c r="F155" i="7" l="1"/>
  <c r="F43" i="7"/>
  <c r="F41" i="7"/>
  <c r="F42" i="7" s="1"/>
  <c r="F157" i="7" l="1"/>
  <c r="F156" i="7"/>
  <c r="F45" i="7"/>
  <c r="F44" i="7"/>
  <c r="H50" i="22" l="1"/>
  <c r="H14" i="22"/>
  <c r="H7" i="22"/>
  <c r="H21" i="22"/>
  <c r="C8" i="22"/>
  <c r="H8" i="22" s="1"/>
  <c r="G133" i="22"/>
  <c r="F133" i="22"/>
  <c r="C133" i="22"/>
  <c r="H133" i="22" s="1"/>
  <c r="G132" i="22"/>
  <c r="F132" i="22"/>
  <c r="C132" i="22"/>
  <c r="H132" i="22" s="1"/>
  <c r="G131" i="22"/>
  <c r="F131" i="22"/>
  <c r="C131" i="22"/>
  <c r="H131" i="22" s="1"/>
  <c r="G130" i="22"/>
  <c r="F130" i="22"/>
  <c r="C130" i="22"/>
  <c r="H130" i="22" s="1"/>
  <c r="G129" i="22"/>
  <c r="F129" i="22"/>
  <c r="C129" i="22"/>
  <c r="H129" i="22" s="1"/>
  <c r="G128" i="22"/>
  <c r="F128" i="22"/>
  <c r="C128" i="22"/>
  <c r="H128" i="22" s="1"/>
  <c r="H127" i="22"/>
  <c r="G126" i="22"/>
  <c r="F126" i="22"/>
  <c r="C126" i="22"/>
  <c r="H126" i="22" s="1"/>
  <c r="G125" i="22"/>
  <c r="F125" i="22"/>
  <c r="C125" i="22"/>
  <c r="H125" i="22" s="1"/>
  <c r="G124" i="22"/>
  <c r="F124" i="22"/>
  <c r="C124" i="22"/>
  <c r="H124" i="22" s="1"/>
  <c r="G123" i="22"/>
  <c r="F123" i="22"/>
  <c r="C123" i="22"/>
  <c r="H123" i="22" s="1"/>
  <c r="G122" i="22"/>
  <c r="F122" i="22"/>
  <c r="C122" i="22"/>
  <c r="H122" i="22" s="1"/>
  <c r="G121" i="22"/>
  <c r="F121" i="22"/>
  <c r="C121" i="22"/>
  <c r="H121" i="22" s="1"/>
  <c r="H120" i="22"/>
  <c r="G119" i="22"/>
  <c r="F119" i="22"/>
  <c r="C119" i="22"/>
  <c r="H119" i="22" s="1"/>
  <c r="G118" i="22"/>
  <c r="F118" i="22"/>
  <c r="C118" i="22"/>
  <c r="H118" i="22" s="1"/>
  <c r="G117" i="22"/>
  <c r="F117" i="22"/>
  <c r="C117" i="22"/>
  <c r="H117" i="22" s="1"/>
  <c r="G116" i="22"/>
  <c r="F116" i="22"/>
  <c r="C116" i="22"/>
  <c r="H116" i="22" s="1"/>
  <c r="G115" i="22"/>
  <c r="F115" i="22"/>
  <c r="C115" i="22"/>
  <c r="H115" i="22" s="1"/>
  <c r="G114" i="22"/>
  <c r="F114" i="22"/>
  <c r="C114" i="22"/>
  <c r="H114" i="22" s="1"/>
  <c r="H113" i="22"/>
  <c r="I113" i="22"/>
  <c r="G112" i="22"/>
  <c r="F112" i="22"/>
  <c r="C112" i="22"/>
  <c r="H112" i="22" s="1"/>
  <c r="G111" i="22"/>
  <c r="F111" i="22"/>
  <c r="C111" i="22"/>
  <c r="H111" i="22" s="1"/>
  <c r="G110" i="22"/>
  <c r="F110" i="22"/>
  <c r="C110" i="22"/>
  <c r="H110" i="22" s="1"/>
  <c r="G109" i="22"/>
  <c r="F109" i="22"/>
  <c r="C109" i="22"/>
  <c r="H109" i="22" s="1"/>
  <c r="G108" i="22"/>
  <c r="F108" i="22"/>
  <c r="C108" i="22"/>
  <c r="H108" i="22" s="1"/>
  <c r="G107" i="22"/>
  <c r="F107" i="22"/>
  <c r="C107" i="22"/>
  <c r="H107" i="22" s="1"/>
  <c r="H106" i="22"/>
  <c r="G105" i="22"/>
  <c r="F105" i="22"/>
  <c r="C105" i="22"/>
  <c r="H105" i="22" s="1"/>
  <c r="G104" i="22"/>
  <c r="F104" i="22"/>
  <c r="C104" i="22"/>
  <c r="H104" i="22" s="1"/>
  <c r="G103" i="22"/>
  <c r="F103" i="22"/>
  <c r="C103" i="22"/>
  <c r="H103" i="22" s="1"/>
  <c r="G102" i="22"/>
  <c r="F102" i="22"/>
  <c r="C102" i="22"/>
  <c r="H102" i="22" s="1"/>
  <c r="G101" i="22"/>
  <c r="F101" i="22"/>
  <c r="C101" i="22"/>
  <c r="H101" i="22" s="1"/>
  <c r="G100" i="22"/>
  <c r="F100" i="22"/>
  <c r="C100" i="22"/>
  <c r="H100" i="22" s="1"/>
  <c r="H99" i="22"/>
  <c r="G98" i="22"/>
  <c r="F98" i="22"/>
  <c r="C98" i="22"/>
  <c r="H98" i="22" s="1"/>
  <c r="G97" i="22"/>
  <c r="F97" i="22"/>
  <c r="C97" i="22"/>
  <c r="H97" i="22" s="1"/>
  <c r="G96" i="22"/>
  <c r="F96" i="22"/>
  <c r="C96" i="22"/>
  <c r="H96" i="22" s="1"/>
  <c r="G95" i="22"/>
  <c r="F95" i="22"/>
  <c r="C95" i="22"/>
  <c r="H95" i="22" s="1"/>
  <c r="G94" i="22"/>
  <c r="F94" i="22"/>
  <c r="C94" i="22"/>
  <c r="H94" i="22" s="1"/>
  <c r="G93" i="22"/>
  <c r="F93" i="22"/>
  <c r="C93" i="22"/>
  <c r="H93" i="22" s="1"/>
  <c r="H92" i="22"/>
  <c r="G91" i="22"/>
  <c r="F91" i="22"/>
  <c r="C91" i="22"/>
  <c r="H91" i="22" s="1"/>
  <c r="G90" i="22"/>
  <c r="F90" i="22"/>
  <c r="C90" i="22"/>
  <c r="H90" i="22" s="1"/>
  <c r="G89" i="22"/>
  <c r="F89" i="22"/>
  <c r="C89" i="22"/>
  <c r="H89" i="22" s="1"/>
  <c r="G88" i="22"/>
  <c r="F88" i="22"/>
  <c r="C88" i="22"/>
  <c r="H88" i="22" s="1"/>
  <c r="G87" i="22"/>
  <c r="F87" i="22"/>
  <c r="C87" i="22"/>
  <c r="H87" i="22" s="1"/>
  <c r="G86" i="22"/>
  <c r="F86" i="22"/>
  <c r="C86" i="22"/>
  <c r="H86" i="22" s="1"/>
  <c r="H85" i="22"/>
  <c r="I85" i="22"/>
  <c r="G84" i="22"/>
  <c r="F84" i="22"/>
  <c r="C84" i="22"/>
  <c r="H84" i="22" s="1"/>
  <c r="G83" i="22"/>
  <c r="F83" i="22"/>
  <c r="C83" i="22"/>
  <c r="H83" i="22" s="1"/>
  <c r="G82" i="22"/>
  <c r="F82" i="22"/>
  <c r="C82" i="22"/>
  <c r="H82" i="22" s="1"/>
  <c r="G81" i="22"/>
  <c r="F81" i="22"/>
  <c r="C81" i="22"/>
  <c r="H81" i="22" s="1"/>
  <c r="G80" i="22"/>
  <c r="F80" i="22"/>
  <c r="C80" i="22"/>
  <c r="H80" i="22" s="1"/>
  <c r="G79" i="22"/>
  <c r="F79" i="22"/>
  <c r="C79" i="22"/>
  <c r="H79" i="22" s="1"/>
  <c r="H78" i="22"/>
  <c r="G77" i="22"/>
  <c r="F77" i="22"/>
  <c r="C77" i="22"/>
  <c r="H77" i="22" s="1"/>
  <c r="G76" i="22"/>
  <c r="F76" i="22"/>
  <c r="C76" i="22"/>
  <c r="H76" i="22" s="1"/>
  <c r="G75" i="22"/>
  <c r="F75" i="22"/>
  <c r="C75" i="22"/>
  <c r="H75" i="22" s="1"/>
  <c r="G74" i="22"/>
  <c r="F74" i="22"/>
  <c r="C74" i="22"/>
  <c r="H74" i="22" s="1"/>
  <c r="G73" i="22"/>
  <c r="F73" i="22"/>
  <c r="C73" i="22"/>
  <c r="H73" i="22" s="1"/>
  <c r="G72" i="22"/>
  <c r="F72" i="22"/>
  <c r="C72" i="22"/>
  <c r="H72" i="22" s="1"/>
  <c r="H71" i="22"/>
  <c r="G70" i="22"/>
  <c r="F70" i="22"/>
  <c r="C70" i="22"/>
  <c r="H70" i="22" s="1"/>
  <c r="G69" i="22"/>
  <c r="F69" i="22"/>
  <c r="C69" i="22"/>
  <c r="H69" i="22" s="1"/>
  <c r="G68" i="22"/>
  <c r="F68" i="22"/>
  <c r="C68" i="22"/>
  <c r="H68" i="22" s="1"/>
  <c r="G67" i="22"/>
  <c r="F67" i="22"/>
  <c r="C67" i="22"/>
  <c r="H67" i="22" s="1"/>
  <c r="G66" i="22"/>
  <c r="F66" i="22"/>
  <c r="C66" i="22"/>
  <c r="H66" i="22" s="1"/>
  <c r="G65" i="22"/>
  <c r="F65" i="22"/>
  <c r="C65" i="22"/>
  <c r="H65" i="22" s="1"/>
  <c r="H64" i="22"/>
  <c r="G63" i="22"/>
  <c r="F63" i="22"/>
  <c r="C63" i="22"/>
  <c r="H63" i="22" s="1"/>
  <c r="G62" i="22"/>
  <c r="F62" i="22"/>
  <c r="C62" i="22"/>
  <c r="H62" i="22" s="1"/>
  <c r="G61" i="22"/>
  <c r="F61" i="22"/>
  <c r="C61" i="22"/>
  <c r="H61" i="22" s="1"/>
  <c r="G60" i="22"/>
  <c r="F60" i="22"/>
  <c r="C60" i="22"/>
  <c r="H60" i="22" s="1"/>
  <c r="G59" i="22"/>
  <c r="F59" i="22"/>
  <c r="C59" i="22"/>
  <c r="H59" i="22" s="1"/>
  <c r="G58" i="22"/>
  <c r="F58" i="22"/>
  <c r="C58" i="22"/>
  <c r="H58" i="22" s="1"/>
  <c r="H57" i="22"/>
  <c r="I57" i="22"/>
  <c r="G48" i="22"/>
  <c r="F48" i="22"/>
  <c r="C48" i="22"/>
  <c r="H48" i="22" s="1"/>
  <c r="G47" i="22"/>
  <c r="F47" i="22"/>
  <c r="C47" i="22"/>
  <c r="H47" i="22" s="1"/>
  <c r="G46" i="22"/>
  <c r="F46" i="22"/>
  <c r="C46" i="22"/>
  <c r="H46" i="22" s="1"/>
  <c r="G45" i="22"/>
  <c r="F45" i="22"/>
  <c r="C45" i="22"/>
  <c r="H45" i="22" s="1"/>
  <c r="G44" i="22"/>
  <c r="F44" i="22"/>
  <c r="C44" i="22"/>
  <c r="H44" i="22" s="1"/>
  <c r="G43" i="22"/>
  <c r="F43" i="22"/>
  <c r="C43" i="22"/>
  <c r="H43" i="22" s="1"/>
  <c r="H42" i="22"/>
  <c r="G41" i="22"/>
  <c r="F41" i="22"/>
  <c r="C41" i="22"/>
  <c r="H41" i="22" s="1"/>
  <c r="G40" i="22"/>
  <c r="F40" i="22"/>
  <c r="C40" i="22"/>
  <c r="H40" i="22" s="1"/>
  <c r="G39" i="22"/>
  <c r="F39" i="22"/>
  <c r="C39" i="22"/>
  <c r="H39" i="22" s="1"/>
  <c r="G38" i="22"/>
  <c r="F38" i="22"/>
  <c r="C38" i="22"/>
  <c r="H38" i="22" s="1"/>
  <c r="G37" i="22"/>
  <c r="F37" i="22"/>
  <c r="C37" i="22"/>
  <c r="H37" i="22" s="1"/>
  <c r="G36" i="22"/>
  <c r="F36" i="22"/>
  <c r="C36" i="22"/>
  <c r="H36" i="22" s="1"/>
  <c r="H35" i="22"/>
  <c r="G34" i="22"/>
  <c r="F34" i="22"/>
  <c r="C34" i="22"/>
  <c r="H34" i="22" s="1"/>
  <c r="G33" i="22"/>
  <c r="F33" i="22"/>
  <c r="C33" i="22"/>
  <c r="H33" i="22" s="1"/>
  <c r="G32" i="22"/>
  <c r="F32" i="22"/>
  <c r="C32" i="22"/>
  <c r="H32" i="22" s="1"/>
  <c r="G31" i="22"/>
  <c r="F31" i="22"/>
  <c r="C31" i="22"/>
  <c r="H31" i="22" s="1"/>
  <c r="G30" i="22"/>
  <c r="F30" i="22"/>
  <c r="C30" i="22"/>
  <c r="H30" i="22" s="1"/>
  <c r="G29" i="22"/>
  <c r="F29" i="22"/>
  <c r="C29" i="22"/>
  <c r="H29" i="22" s="1"/>
  <c r="H28" i="22"/>
  <c r="I28" i="22"/>
  <c r="G27" i="22"/>
  <c r="F27" i="22"/>
  <c r="C27" i="22"/>
  <c r="H27" i="22" s="1"/>
  <c r="G26" i="22"/>
  <c r="F26" i="22"/>
  <c r="C26" i="22"/>
  <c r="H26" i="22" s="1"/>
  <c r="G25" i="22"/>
  <c r="F25" i="22"/>
  <c r="C25" i="22"/>
  <c r="H25" i="22" s="1"/>
  <c r="G24" i="22"/>
  <c r="F24" i="22"/>
  <c r="C24" i="22"/>
  <c r="H24" i="22" s="1"/>
  <c r="G23" i="22"/>
  <c r="F23" i="22"/>
  <c r="C23" i="22"/>
  <c r="H23" i="22" s="1"/>
  <c r="G22" i="22"/>
  <c r="F22" i="22"/>
  <c r="C22" i="22"/>
  <c r="H22" i="22" s="1"/>
  <c r="I21" i="22"/>
  <c r="G20" i="22"/>
  <c r="F20" i="22"/>
  <c r="C20" i="22"/>
  <c r="H20" i="22" s="1"/>
  <c r="G19" i="22"/>
  <c r="F19" i="22"/>
  <c r="C19" i="22"/>
  <c r="H19" i="22" s="1"/>
  <c r="G18" i="22"/>
  <c r="F18" i="22"/>
  <c r="C18" i="22"/>
  <c r="H18" i="22" s="1"/>
  <c r="G17" i="22"/>
  <c r="F17" i="22"/>
  <c r="C17" i="22"/>
  <c r="H17" i="22" s="1"/>
  <c r="G16" i="22"/>
  <c r="F16" i="22"/>
  <c r="C16" i="22"/>
  <c r="H16" i="22" s="1"/>
  <c r="G15" i="22"/>
  <c r="F15" i="22"/>
  <c r="C15" i="22"/>
  <c r="H15" i="22" s="1"/>
  <c r="G13" i="22"/>
  <c r="F13" i="22"/>
  <c r="C13" i="22"/>
  <c r="H13" i="22" s="1"/>
  <c r="G12" i="22"/>
  <c r="F12" i="22"/>
  <c r="C12" i="22"/>
  <c r="H12" i="22" s="1"/>
  <c r="G11" i="22"/>
  <c r="F11" i="22"/>
  <c r="C11" i="22"/>
  <c r="H11" i="22" s="1"/>
  <c r="G10" i="22"/>
  <c r="F10" i="22"/>
  <c r="C10" i="22"/>
  <c r="H10" i="22" s="1"/>
  <c r="G9" i="22"/>
  <c r="F9" i="22"/>
  <c r="C9" i="22"/>
  <c r="H9" i="22" s="1"/>
  <c r="G8" i="22"/>
  <c r="F8" i="22"/>
  <c r="I7" i="22"/>
  <c r="G56" i="22"/>
  <c r="F56" i="22"/>
  <c r="C56" i="22"/>
  <c r="H56" i="22" s="1"/>
  <c r="G55" i="22"/>
  <c r="F55" i="22"/>
  <c r="C55" i="22"/>
  <c r="H55" i="22" s="1"/>
  <c r="G54" i="22"/>
  <c r="F54" i="22"/>
  <c r="C54" i="22"/>
  <c r="H54" i="22" s="1"/>
  <c r="G53" i="22"/>
  <c r="F53" i="22"/>
  <c r="C53" i="22"/>
  <c r="H53" i="22" s="1"/>
  <c r="G52" i="22"/>
  <c r="F52" i="22"/>
  <c r="C52" i="22"/>
  <c r="H52" i="22" s="1"/>
  <c r="G51" i="22"/>
  <c r="F51" i="22"/>
  <c r="C51" i="22"/>
  <c r="H51" i="22" s="1"/>
  <c r="I50" i="22"/>
  <c r="I129" i="22" l="1"/>
  <c r="I55" i="22"/>
  <c r="I54" i="22"/>
  <c r="I56" i="22"/>
  <c r="I71" i="22"/>
  <c r="I127" i="22"/>
  <c r="I51" i="22"/>
  <c r="I15" i="22"/>
  <c r="I102" i="22"/>
  <c r="I52" i="22"/>
  <c r="I35" i="22"/>
  <c r="I99" i="22"/>
  <c r="I43" i="22"/>
  <c r="I46" i="22"/>
  <c r="I58" i="22"/>
  <c r="I86" i="22"/>
  <c r="I114" i="22"/>
  <c r="I36" i="22"/>
  <c r="I72" i="22"/>
  <c r="I128" i="22"/>
  <c r="I100" i="22"/>
  <c r="I53" i="22"/>
  <c r="I92" i="22"/>
  <c r="I98" i="22"/>
  <c r="I37" i="22"/>
  <c r="I79" i="22"/>
  <c r="I107" i="22"/>
  <c r="I110" i="22"/>
  <c r="I16" i="22"/>
  <c r="I81" i="22"/>
  <c r="I84" i="22"/>
  <c r="I112" i="22"/>
  <c r="I18" i="22"/>
  <c r="I44" i="22"/>
  <c r="I47" i="22"/>
  <c r="I82" i="22"/>
  <c r="I19" i="22"/>
  <c r="I34" i="22"/>
  <c r="I73" i="22"/>
  <c r="I20" i="22"/>
  <c r="I109" i="22"/>
  <c r="I45" i="22"/>
  <c r="I48" i="22"/>
  <c r="I80" i="22"/>
  <c r="I83" i="22"/>
  <c r="I108" i="22"/>
  <c r="I111" i="22"/>
  <c r="I120" i="22"/>
  <c r="I126" i="22"/>
  <c r="I17" i="22"/>
  <c r="I64" i="22"/>
  <c r="I70" i="22"/>
  <c r="I105" i="22"/>
  <c r="I103" i="22"/>
  <c r="I101" i="22"/>
  <c r="I14" i="22"/>
  <c r="I42" i="22"/>
  <c r="I78" i="22"/>
  <c r="I106" i="22"/>
  <c r="I94" i="22" l="1"/>
  <c r="I93" i="22"/>
  <c r="I67" i="22"/>
  <c r="I32" i="22"/>
  <c r="I97" i="22"/>
  <c r="I69" i="22"/>
  <c r="I66" i="22"/>
  <c r="I65" i="22"/>
  <c r="I104" i="22"/>
  <c r="I38" i="22"/>
  <c r="I115" i="22"/>
  <c r="I123" i="22"/>
  <c r="I22" i="22"/>
  <c r="I95" i="22"/>
  <c r="I96" i="22"/>
  <c r="I74" i="22"/>
  <c r="I24" i="22"/>
  <c r="I23" i="22"/>
  <c r="I124" i="22"/>
  <c r="I30" i="22"/>
  <c r="I33" i="22"/>
  <c r="I125" i="22"/>
  <c r="I121" i="22"/>
  <c r="I75" i="22"/>
  <c r="I8" i="22"/>
  <c r="I39" i="22"/>
  <c r="I130" i="22"/>
  <c r="I122" i="22"/>
  <c r="I29" i="22"/>
  <c r="I31" i="22"/>
  <c r="I131" i="22"/>
  <c r="I116" i="22"/>
  <c r="I68" i="22"/>
  <c r="I88" i="22" l="1"/>
  <c r="I87" i="22"/>
  <c r="I59" i="22"/>
  <c r="I133" i="22"/>
  <c r="I132" i="22"/>
  <c r="I41" i="22"/>
  <c r="I40" i="22"/>
  <c r="I9" i="22"/>
  <c r="I89" i="22"/>
  <c r="I77" i="22"/>
  <c r="I76" i="22"/>
  <c r="I25" i="22"/>
  <c r="I117" i="22"/>
  <c r="I60" i="22" l="1"/>
  <c r="I10" i="22"/>
  <c r="I90" i="22"/>
  <c r="I91" i="22"/>
  <c r="I118" i="22"/>
  <c r="I119" i="22"/>
  <c r="I27" i="22"/>
  <c r="I26" i="22"/>
  <c r="I61" i="22" l="1"/>
  <c r="I11" i="22"/>
  <c r="I63" i="22" l="1"/>
  <c r="I62" i="22"/>
  <c r="I13" i="22"/>
  <c r="I12" i="22"/>
  <c r="F40" i="7" l="1"/>
  <c r="F34" i="7"/>
  <c r="F35" i="7" s="1"/>
  <c r="A161" i="7"/>
  <c r="A69" i="7"/>
  <c r="A13" i="7"/>
  <c r="A14" i="7" s="1"/>
  <c r="A15" i="7" s="1"/>
  <c r="A16" i="7" s="1"/>
  <c r="A17" i="7" s="1"/>
  <c r="A18" i="7" s="1"/>
  <c r="A21" i="7"/>
  <c r="A22" i="7" s="1"/>
  <c r="A23" i="7" s="1"/>
  <c r="A24" i="7" s="1"/>
  <c r="F161" i="7"/>
  <c r="F162" i="7" l="1"/>
  <c r="A70" i="7"/>
  <c r="A162" i="7"/>
  <c r="A163" i="7" l="1"/>
  <c r="A71" i="7"/>
  <c r="A72" i="7" l="1"/>
  <c r="A154" i="7"/>
  <c r="A27" i="7"/>
  <c r="A28" i="7" s="1"/>
  <c r="A29" i="7" s="1"/>
  <c r="A30" i="7" s="1"/>
  <c r="A31" i="7" s="1"/>
  <c r="A32" i="7" s="1"/>
  <c r="A33" i="7" s="1"/>
  <c r="A34" i="7" s="1"/>
  <c r="A38" i="7"/>
  <c r="A145" i="7"/>
  <c r="A120" i="7"/>
  <c r="A116" i="7"/>
  <c r="A108" i="7"/>
  <c r="A99" i="7"/>
  <c r="A92" i="7"/>
  <c r="A79" i="7"/>
  <c r="A65" i="7"/>
  <c r="A49" i="7"/>
  <c r="A6" i="7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B103" i="16"/>
  <c r="A103" i="16"/>
  <c r="C102" i="16"/>
  <c r="E102" i="16" s="1"/>
  <c r="A102" i="16"/>
  <c r="D102" i="16" s="1"/>
  <c r="D103" i="16" s="1"/>
  <c r="D104" i="16" s="1"/>
  <c r="D105" i="16" s="1"/>
  <c r="D106" i="16" s="1"/>
  <c r="D107" i="16" s="1"/>
  <c r="D108" i="16" s="1"/>
  <c r="D109" i="16" s="1"/>
  <c r="D110" i="16" s="1"/>
  <c r="D111" i="16" s="1"/>
  <c r="D112" i="16" s="1"/>
  <c r="D113" i="16" s="1"/>
  <c r="D114" i="16" s="1"/>
  <c r="D115" i="16" s="1"/>
  <c r="D116" i="16" s="1"/>
  <c r="D117" i="16" s="1"/>
  <c r="D118" i="16" s="1"/>
  <c r="D119" i="16" s="1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B84" i="16"/>
  <c r="B85" i="16" s="1"/>
  <c r="A84" i="16"/>
  <c r="C83" i="16"/>
  <c r="E83" i="16" s="1"/>
  <c r="A83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B65" i="16"/>
  <c r="C65" i="16" s="1"/>
  <c r="E65" i="16" s="1"/>
  <c r="A65" i="16"/>
  <c r="C64" i="16"/>
  <c r="E64" i="16" s="1"/>
  <c r="A64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B46" i="16"/>
  <c r="C46" i="16" s="1"/>
  <c r="E46" i="16" s="1"/>
  <c r="A46" i="16"/>
  <c r="C45" i="16"/>
  <c r="E45" i="16" s="1"/>
  <c r="A45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B27" i="16"/>
  <c r="B28" i="16" s="1"/>
  <c r="C28" i="16" s="1"/>
  <c r="E28" i="16" s="1"/>
  <c r="A27" i="16"/>
  <c r="C26" i="16"/>
  <c r="E26" i="16" s="1"/>
  <c r="A26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B8" i="16"/>
  <c r="B9" i="16" s="1"/>
  <c r="A8" i="16"/>
  <c r="C7" i="16"/>
  <c r="E7" i="16" s="1"/>
  <c r="A7" i="16"/>
  <c r="A109" i="7" l="1"/>
  <c r="A146" i="7"/>
  <c r="A121" i="7"/>
  <c r="A155" i="7"/>
  <c r="A80" i="7"/>
  <c r="A50" i="7"/>
  <c r="A93" i="7"/>
  <c r="A100" i="7"/>
  <c r="A73" i="7"/>
  <c r="A74" i="7" s="1"/>
  <c r="A75" i="7" s="1"/>
  <c r="A7" i="7"/>
  <c r="A8" i="7" s="1"/>
  <c r="A9" i="7" s="1"/>
  <c r="A10" i="7" s="1"/>
  <c r="D83" i="16"/>
  <c r="D64" i="16"/>
  <c r="B29" i="16"/>
  <c r="B30" i="16" s="1"/>
  <c r="C30" i="16" s="1"/>
  <c r="E30" i="16" s="1"/>
  <c r="D45" i="16"/>
  <c r="B47" i="16"/>
  <c r="B48" i="16" s="1"/>
  <c r="D48" i="16" s="1"/>
  <c r="D26" i="16"/>
  <c r="D27" i="16"/>
  <c r="D46" i="16"/>
  <c r="C8" i="16"/>
  <c r="E8" i="16" s="1"/>
  <c r="C84" i="16"/>
  <c r="E84" i="16" s="1"/>
  <c r="D7" i="16"/>
  <c r="D28" i="16"/>
  <c r="D65" i="16"/>
  <c r="D85" i="16"/>
  <c r="D8" i="16"/>
  <c r="D84" i="16"/>
  <c r="B10" i="16"/>
  <c r="D9" i="16"/>
  <c r="C9" i="16"/>
  <c r="E9" i="16" s="1"/>
  <c r="B66" i="16"/>
  <c r="C27" i="16"/>
  <c r="E27" i="16" s="1"/>
  <c r="A39" i="7"/>
  <c r="A40" i="7" s="1"/>
  <c r="A41" i="7" s="1"/>
  <c r="A42" i="7" s="1"/>
  <c r="A43" i="7" s="1"/>
  <c r="A44" i="7" s="1"/>
  <c r="A45" i="7" s="1"/>
  <c r="A46" i="7" s="1"/>
  <c r="B86" i="16"/>
  <c r="C85" i="16"/>
  <c r="E85" i="16" s="1"/>
  <c r="B104" i="16"/>
  <c r="C103" i="16"/>
  <c r="E103" i="16" s="1"/>
  <c r="A51" i="7" l="1"/>
  <c r="A81" i="7"/>
  <c r="A156" i="7"/>
  <c r="A122" i="7"/>
  <c r="A101" i="7"/>
  <c r="A147" i="7"/>
  <c r="A94" i="7"/>
  <c r="A110" i="7"/>
  <c r="C29" i="16"/>
  <c r="E29" i="16" s="1"/>
  <c r="D30" i="16"/>
  <c r="D29" i="16"/>
  <c r="B31" i="16"/>
  <c r="C31" i="16" s="1"/>
  <c r="E31" i="16" s="1"/>
  <c r="D47" i="16"/>
  <c r="C47" i="16"/>
  <c r="E47" i="16" s="1"/>
  <c r="D10" i="16"/>
  <c r="C66" i="16"/>
  <c r="E66" i="16" s="1"/>
  <c r="B67" i="16"/>
  <c r="D66" i="16"/>
  <c r="C48" i="16"/>
  <c r="E48" i="16" s="1"/>
  <c r="B49" i="16"/>
  <c r="B11" i="16"/>
  <c r="C10" i="16"/>
  <c r="E10" i="16" s="1"/>
  <c r="B87" i="16"/>
  <c r="C86" i="16"/>
  <c r="E86" i="16" s="1"/>
  <c r="D86" i="16"/>
  <c r="B105" i="16"/>
  <c r="C104" i="16"/>
  <c r="E104" i="16" s="1"/>
  <c r="B32" i="16"/>
  <c r="A123" i="7" l="1"/>
  <c r="A102" i="7"/>
  <c r="A111" i="7"/>
  <c r="A157" i="7"/>
  <c r="A95" i="7"/>
  <c r="A82" i="7"/>
  <c r="A148" i="7"/>
  <c r="A52" i="7"/>
  <c r="D31" i="16"/>
  <c r="B12" i="16"/>
  <c r="C11" i="16"/>
  <c r="E11" i="16" s="1"/>
  <c r="D11" i="16"/>
  <c r="C67" i="16"/>
  <c r="E67" i="16" s="1"/>
  <c r="D67" i="16"/>
  <c r="B68" i="16"/>
  <c r="D49" i="16"/>
  <c r="B50" i="16"/>
  <c r="C49" i="16"/>
  <c r="E49" i="16" s="1"/>
  <c r="D32" i="16"/>
  <c r="B33" i="16"/>
  <c r="C32" i="16"/>
  <c r="E32" i="16" s="1"/>
  <c r="B106" i="16"/>
  <c r="C105" i="16"/>
  <c r="E105" i="16" s="1"/>
  <c r="B88" i="16"/>
  <c r="C87" i="16"/>
  <c r="E87" i="16" s="1"/>
  <c r="D87" i="16"/>
  <c r="A149" i="7" l="1"/>
  <c r="A103" i="7"/>
  <c r="A53" i="7"/>
  <c r="A112" i="7"/>
  <c r="A124" i="7"/>
  <c r="A83" i="7"/>
  <c r="B51" i="16"/>
  <c r="C50" i="16"/>
  <c r="E50" i="16" s="1"/>
  <c r="D50" i="16"/>
  <c r="D68" i="16"/>
  <c r="B69" i="16"/>
  <c r="C68" i="16"/>
  <c r="E68" i="16" s="1"/>
  <c r="D12" i="16"/>
  <c r="B13" i="16"/>
  <c r="C12" i="16"/>
  <c r="E12" i="16" s="1"/>
  <c r="C88" i="16"/>
  <c r="E88" i="16" s="1"/>
  <c r="B89" i="16"/>
  <c r="D88" i="16"/>
  <c r="B107" i="16"/>
  <c r="C106" i="16"/>
  <c r="E106" i="16" s="1"/>
  <c r="D33" i="16"/>
  <c r="C33" i="16"/>
  <c r="E33" i="16" s="1"/>
  <c r="B34" i="16"/>
  <c r="A84" i="7" l="1"/>
  <c r="A125" i="7"/>
  <c r="A54" i="7"/>
  <c r="A104" i="7"/>
  <c r="A150" i="7"/>
  <c r="C13" i="16"/>
  <c r="E13" i="16" s="1"/>
  <c r="B14" i="16"/>
  <c r="D13" i="16"/>
  <c r="D69" i="16"/>
  <c r="B70" i="16"/>
  <c r="C69" i="16"/>
  <c r="E69" i="16" s="1"/>
  <c r="C51" i="16"/>
  <c r="E51" i="16" s="1"/>
  <c r="B52" i="16"/>
  <c r="D51" i="16"/>
  <c r="B90" i="16"/>
  <c r="C89" i="16"/>
  <c r="E89" i="16" s="1"/>
  <c r="D89" i="16"/>
  <c r="B108" i="16"/>
  <c r="C107" i="16"/>
  <c r="E107" i="16" s="1"/>
  <c r="C34" i="16"/>
  <c r="E34" i="16" s="1"/>
  <c r="B35" i="16"/>
  <c r="D34" i="16"/>
  <c r="A55" i="7" l="1"/>
  <c r="A126" i="7"/>
  <c r="A85" i="7"/>
  <c r="C14" i="16"/>
  <c r="E14" i="16" s="1"/>
  <c r="B15" i="16"/>
  <c r="D14" i="16"/>
  <c r="B71" i="16"/>
  <c r="D70" i="16"/>
  <c r="C70" i="16"/>
  <c r="E70" i="16" s="1"/>
  <c r="C52" i="16"/>
  <c r="E52" i="16" s="1"/>
  <c r="B53" i="16"/>
  <c r="D52" i="16"/>
  <c r="B109" i="16"/>
  <c r="C108" i="16"/>
  <c r="E108" i="16" s="1"/>
  <c r="B36" i="16"/>
  <c r="C35" i="16"/>
  <c r="E35" i="16" s="1"/>
  <c r="D35" i="16"/>
  <c r="B91" i="16"/>
  <c r="C90" i="16"/>
  <c r="E90" i="16" s="1"/>
  <c r="D90" i="16"/>
  <c r="A127" i="7" l="1"/>
  <c r="A56" i="7"/>
  <c r="A86" i="7"/>
  <c r="C71" i="16"/>
  <c r="E71" i="16" s="1"/>
  <c r="D71" i="16"/>
  <c r="B72" i="16"/>
  <c r="C53" i="16"/>
  <c r="E53" i="16" s="1"/>
  <c r="B54" i="16"/>
  <c r="D53" i="16"/>
  <c r="D15" i="16"/>
  <c r="B16" i="16"/>
  <c r="C15" i="16"/>
  <c r="E15" i="16" s="1"/>
  <c r="B92" i="16"/>
  <c r="C91" i="16"/>
  <c r="E91" i="16" s="1"/>
  <c r="D91" i="16"/>
  <c r="B110" i="16"/>
  <c r="C109" i="16"/>
  <c r="E109" i="16" s="1"/>
  <c r="D36" i="16"/>
  <c r="B37" i="16"/>
  <c r="C36" i="16"/>
  <c r="E36" i="16" s="1"/>
  <c r="A87" i="7" l="1"/>
  <c r="A57" i="7"/>
  <c r="A128" i="7"/>
  <c r="B73" i="16"/>
  <c r="C72" i="16"/>
  <c r="E72" i="16" s="1"/>
  <c r="D72" i="16"/>
  <c r="D16" i="16"/>
  <c r="B17" i="16"/>
  <c r="C16" i="16"/>
  <c r="E16" i="16" s="1"/>
  <c r="B55" i="16"/>
  <c r="C54" i="16"/>
  <c r="E54" i="16" s="1"/>
  <c r="D54" i="16"/>
  <c r="B111" i="16"/>
  <c r="C110" i="16"/>
  <c r="E110" i="16" s="1"/>
  <c r="C92" i="16"/>
  <c r="E92" i="16" s="1"/>
  <c r="B93" i="16"/>
  <c r="D92" i="16"/>
  <c r="D37" i="16"/>
  <c r="C37" i="16"/>
  <c r="E37" i="16" s="1"/>
  <c r="B38" i="16"/>
  <c r="A129" i="7" l="1"/>
  <c r="A58" i="7"/>
  <c r="A88" i="7"/>
  <c r="C55" i="16"/>
  <c r="E55" i="16" s="1"/>
  <c r="B56" i="16"/>
  <c r="D55" i="16"/>
  <c r="C17" i="16"/>
  <c r="E17" i="16" s="1"/>
  <c r="D17" i="16"/>
  <c r="B18" i="16"/>
  <c r="D73" i="16"/>
  <c r="B74" i="16"/>
  <c r="C73" i="16"/>
  <c r="E73" i="16" s="1"/>
  <c r="B94" i="16"/>
  <c r="C93" i="16"/>
  <c r="E93" i="16" s="1"/>
  <c r="D93" i="16"/>
  <c r="C38" i="16"/>
  <c r="E38" i="16" s="1"/>
  <c r="B39" i="16"/>
  <c r="D38" i="16"/>
  <c r="B112" i="16"/>
  <c r="C111" i="16"/>
  <c r="E111" i="16" s="1"/>
  <c r="A89" i="7" l="1"/>
  <c r="A59" i="7"/>
  <c r="A130" i="7"/>
  <c r="B19" i="16"/>
  <c r="C18" i="16"/>
  <c r="E18" i="16" s="1"/>
  <c r="D18" i="16"/>
  <c r="D56" i="16"/>
  <c r="B57" i="16"/>
  <c r="C56" i="16"/>
  <c r="E56" i="16" s="1"/>
  <c r="B75" i="16"/>
  <c r="C74" i="16"/>
  <c r="E74" i="16" s="1"/>
  <c r="D74" i="16"/>
  <c r="B113" i="16"/>
  <c r="C112" i="16"/>
  <c r="E112" i="16" s="1"/>
  <c r="B40" i="16"/>
  <c r="C39" i="16"/>
  <c r="E39" i="16" s="1"/>
  <c r="D39" i="16"/>
  <c r="B95" i="16"/>
  <c r="C94" i="16"/>
  <c r="E94" i="16" s="1"/>
  <c r="D94" i="16"/>
  <c r="A131" i="7" l="1"/>
  <c r="A60" i="7"/>
  <c r="D75" i="16"/>
  <c r="C75" i="16"/>
  <c r="E75" i="16" s="1"/>
  <c r="B76" i="16"/>
  <c r="C57" i="16"/>
  <c r="E57" i="16" s="1"/>
  <c r="B58" i="16"/>
  <c r="D57" i="16"/>
  <c r="B20" i="16"/>
  <c r="C19" i="16"/>
  <c r="E19" i="16" s="1"/>
  <c r="D19" i="16"/>
  <c r="B114" i="16"/>
  <c r="C113" i="16"/>
  <c r="E113" i="16" s="1"/>
  <c r="D40" i="16"/>
  <c r="B41" i="16"/>
  <c r="C40" i="16"/>
  <c r="E40" i="16" s="1"/>
  <c r="B96" i="16"/>
  <c r="C95" i="16"/>
  <c r="E95" i="16" s="1"/>
  <c r="D95" i="16"/>
  <c r="A61" i="7" l="1"/>
  <c r="A132" i="7"/>
  <c r="B21" i="16"/>
  <c r="C20" i="16"/>
  <c r="E20" i="16" s="1"/>
  <c r="D20" i="16"/>
  <c r="D76" i="16"/>
  <c r="C76" i="16"/>
  <c r="E76" i="16" s="1"/>
  <c r="B77" i="16"/>
  <c r="B59" i="16"/>
  <c r="C58" i="16"/>
  <c r="E58" i="16" s="1"/>
  <c r="D58" i="16"/>
  <c r="C41" i="16"/>
  <c r="E41" i="16" s="1"/>
  <c r="D41" i="16"/>
  <c r="B42" i="16"/>
  <c r="C96" i="16"/>
  <c r="E96" i="16" s="1"/>
  <c r="B97" i="16"/>
  <c r="D96" i="16"/>
  <c r="B115" i="16"/>
  <c r="C114" i="16"/>
  <c r="E114" i="16" s="1"/>
  <c r="A133" i="7" l="1"/>
  <c r="C59" i="16"/>
  <c r="E59" i="16" s="1"/>
  <c r="B60" i="16"/>
  <c r="D59" i="16"/>
  <c r="D77" i="16"/>
  <c r="B78" i="16"/>
  <c r="C77" i="16"/>
  <c r="E77" i="16" s="1"/>
  <c r="D21" i="16"/>
  <c r="C21" i="16"/>
  <c r="E21" i="16" s="1"/>
  <c r="B22" i="16"/>
  <c r="C42" i="16"/>
  <c r="E42" i="16" s="1"/>
  <c r="B43" i="16"/>
  <c r="D42" i="16"/>
  <c r="B116" i="16"/>
  <c r="C115" i="16"/>
  <c r="E115" i="16" s="1"/>
  <c r="B98" i="16"/>
  <c r="C97" i="16"/>
  <c r="E97" i="16" s="1"/>
  <c r="D97" i="16"/>
  <c r="A134" i="7" l="1"/>
  <c r="D60" i="16"/>
  <c r="B61" i="16"/>
  <c r="C60" i="16"/>
  <c r="E60" i="16" s="1"/>
  <c r="C22" i="16"/>
  <c r="E22" i="16" s="1"/>
  <c r="D22" i="16"/>
  <c r="B23" i="16"/>
  <c r="D78" i="16"/>
  <c r="B79" i="16"/>
  <c r="C78" i="16"/>
  <c r="E78" i="16" s="1"/>
  <c r="B99" i="16"/>
  <c r="C98" i="16"/>
  <c r="E98" i="16" s="1"/>
  <c r="D98" i="16"/>
  <c r="C43" i="16"/>
  <c r="E43" i="16" s="1"/>
  <c r="D43" i="16"/>
  <c r="B117" i="16"/>
  <c r="C116" i="16"/>
  <c r="E116" i="16" s="1"/>
  <c r="A135" i="7" l="1"/>
  <c r="C79" i="16"/>
  <c r="E79" i="16" s="1"/>
  <c r="D79" i="16"/>
  <c r="B80" i="16"/>
  <c r="B24" i="16"/>
  <c r="C23" i="16"/>
  <c r="E23" i="16" s="1"/>
  <c r="D23" i="16"/>
  <c r="D61" i="16"/>
  <c r="B62" i="16"/>
  <c r="C61" i="16"/>
  <c r="E61" i="16" s="1"/>
  <c r="B118" i="16"/>
  <c r="C117" i="16"/>
  <c r="E117" i="16" s="1"/>
  <c r="B100" i="16"/>
  <c r="C99" i="16"/>
  <c r="E99" i="16" s="1"/>
  <c r="D99" i="16"/>
  <c r="A136" i="7" l="1"/>
  <c r="C62" i="16"/>
  <c r="E62" i="16" s="1"/>
  <c r="D62" i="16"/>
  <c r="C24" i="16"/>
  <c r="E24" i="16" s="1"/>
  <c r="D24" i="16"/>
  <c r="C80" i="16"/>
  <c r="E80" i="16" s="1"/>
  <c r="D80" i="16"/>
  <c r="B81" i="16"/>
  <c r="B119" i="16"/>
  <c r="C119" i="16" s="1"/>
  <c r="E119" i="16" s="1"/>
  <c r="C118" i="16"/>
  <c r="E118" i="16" s="1"/>
  <c r="C100" i="16"/>
  <c r="E100" i="16" s="1"/>
  <c r="D100" i="16"/>
  <c r="A137" i="7" l="1"/>
  <c r="C81" i="16"/>
  <c r="E81" i="16" s="1"/>
  <c r="D81" i="16"/>
  <c r="C21" i="2"/>
  <c r="F5" i="7"/>
  <c r="F12" i="7"/>
  <c r="F13" i="7"/>
  <c r="F18" i="7"/>
  <c r="F21" i="7"/>
  <c r="F26" i="7"/>
  <c r="F33" i="7"/>
  <c r="F37" i="7"/>
  <c r="F46" i="7"/>
  <c r="F97" i="7"/>
  <c r="F90" i="7"/>
  <c r="F150" i="7"/>
  <c r="F141" i="7"/>
  <c r="F134" i="7" s="1"/>
  <c r="F153" i="7"/>
  <c r="F160" i="7"/>
  <c r="F163" i="7"/>
  <c r="F164" i="7" s="1"/>
  <c r="F143" i="7" l="1"/>
  <c r="F145" i="7" s="1"/>
  <c r="F67" i="7"/>
  <c r="F71" i="7" s="1"/>
  <c r="F47" i="7"/>
  <c r="F48" i="7" s="1"/>
  <c r="F32" i="7"/>
  <c r="F63" i="7"/>
  <c r="F66" i="7" s="1"/>
  <c r="F64" i="7"/>
  <c r="F65" i="7" s="1"/>
  <c r="A138" i="7"/>
  <c r="F38" i="7"/>
  <c r="F154" i="7"/>
  <c r="F158" i="7"/>
  <c r="F96" i="7"/>
  <c r="F95" i="7"/>
  <c r="F92" i="7"/>
  <c r="F94" i="7"/>
  <c r="F93" i="7"/>
  <c r="F91" i="7"/>
  <c r="F127" i="7"/>
  <c r="F118" i="7"/>
  <c r="F106" i="7"/>
  <c r="F114" i="7"/>
  <c r="F105" i="7"/>
  <c r="F103" i="7"/>
  <c r="F100" i="7"/>
  <c r="F99" i="7"/>
  <c r="F104" i="7"/>
  <c r="F102" i="7"/>
  <c r="F101" i="7"/>
  <c r="F98" i="7"/>
  <c r="F72" i="7"/>
  <c r="F76" i="7"/>
  <c r="F73" i="7"/>
  <c r="F68" i="7"/>
  <c r="F69" i="7"/>
  <c r="F77" i="7"/>
  <c r="F39" i="7"/>
  <c r="F28" i="7"/>
  <c r="F29" i="7"/>
  <c r="F27" i="7"/>
  <c r="F31" i="7"/>
  <c r="F30" i="7"/>
  <c r="F23" i="7"/>
  <c r="F22" i="7"/>
  <c r="F14" i="7"/>
  <c r="F15" i="7"/>
  <c r="F16" i="7"/>
  <c r="F17" i="7"/>
  <c r="F8" i="7"/>
  <c r="F7" i="7"/>
  <c r="F9" i="7"/>
  <c r="F6" i="7"/>
  <c r="F10" i="7"/>
  <c r="F24" i="7"/>
  <c r="F20" i="7"/>
  <c r="F147" i="7" l="1"/>
  <c r="F148" i="7"/>
  <c r="F149" i="7"/>
  <c r="F151" i="7"/>
  <c r="F144" i="7"/>
  <c r="F146" i="7"/>
  <c r="F70" i="7"/>
  <c r="F53" i="7"/>
  <c r="F51" i="7"/>
  <c r="F56" i="7"/>
  <c r="F50" i="7"/>
  <c r="F61" i="7"/>
  <c r="F62" i="7"/>
  <c r="F55" i="7"/>
  <c r="F49" i="7"/>
  <c r="F54" i="7"/>
  <c r="F59" i="7"/>
  <c r="F52" i="7"/>
  <c r="F60" i="7"/>
  <c r="F58" i="7"/>
  <c r="F57" i="7"/>
  <c r="A139" i="7"/>
  <c r="F128" i="7"/>
  <c r="F87" i="7"/>
  <c r="F80" i="7"/>
  <c r="F79" i="7"/>
  <c r="F82" i="7"/>
  <c r="F78" i="7"/>
  <c r="F89" i="7"/>
  <c r="F88" i="7"/>
  <c r="F83" i="7"/>
  <c r="F81" i="7"/>
  <c r="F84" i="7"/>
  <c r="F86" i="7"/>
  <c r="F85" i="7"/>
  <c r="F108" i="7"/>
  <c r="F107" i="7"/>
  <c r="F113" i="7"/>
  <c r="F110" i="7"/>
  <c r="F109" i="7"/>
  <c r="F112" i="7"/>
  <c r="F111" i="7"/>
  <c r="F137" i="7"/>
  <c r="F140" i="7"/>
  <c r="F121" i="7"/>
  <c r="F135" i="7"/>
  <c r="F139" i="7"/>
  <c r="F120" i="7"/>
  <c r="F129" i="7"/>
  <c r="F125" i="7"/>
  <c r="F123" i="7"/>
  <c r="F142" i="7"/>
  <c r="F122" i="7"/>
  <c r="F138" i="7"/>
  <c r="F119" i="7"/>
  <c r="F133" i="7"/>
  <c r="F132" i="7"/>
  <c r="F131" i="7"/>
  <c r="F130" i="7"/>
  <c r="F126" i="7"/>
  <c r="F136" i="7"/>
  <c r="F124" i="7"/>
  <c r="F117" i="7"/>
  <c r="F116" i="7"/>
  <c r="F115" i="7"/>
  <c r="A140" i="7" l="1"/>
  <c r="A141" i="7" l="1"/>
</calcChain>
</file>

<file path=xl/sharedStrings.xml><?xml version="1.0" encoding="utf-8"?>
<sst xmlns="http://schemas.openxmlformats.org/spreadsheetml/2006/main" count="4191" uniqueCount="986">
  <si>
    <t>Code</t>
  </si>
  <si>
    <t>CHART OF ACCOUNT</t>
  </si>
  <si>
    <t>Seg 1</t>
  </si>
  <si>
    <t>Seg 2</t>
  </si>
  <si>
    <t>Seg 3</t>
  </si>
  <si>
    <t>Seg 4</t>
  </si>
  <si>
    <t>Seg 5</t>
  </si>
  <si>
    <t>Seg 6</t>
  </si>
  <si>
    <t>Seg 7</t>
  </si>
  <si>
    <t>Seg 8</t>
  </si>
  <si>
    <t>xx</t>
  </si>
  <si>
    <t>xxxx</t>
  </si>
  <si>
    <t>ACCOUNT</t>
  </si>
  <si>
    <t>SUB_ACCOUNT</t>
  </si>
  <si>
    <t>COST CENTER</t>
  </si>
  <si>
    <t>BUSINESS_LINE</t>
  </si>
  <si>
    <t>BRAND</t>
  </si>
  <si>
    <t>INTERCOMPANY</t>
  </si>
  <si>
    <t>Số ký tự</t>
  </si>
  <si>
    <t>Cộng</t>
  </si>
  <si>
    <t>Segment 1 : xx (Công ty - Company)</t>
  </si>
  <si>
    <t xml:space="preserve">Mã </t>
  </si>
  <si>
    <t>Tên công ty</t>
  </si>
  <si>
    <t>Địa chỉ</t>
  </si>
  <si>
    <t>MST</t>
  </si>
  <si>
    <t>KTT</t>
  </si>
  <si>
    <t>Số tài khoản</t>
  </si>
  <si>
    <t>Tên tài khoản</t>
  </si>
  <si>
    <t>Parent</t>
  </si>
  <si>
    <t>Tiền Mặt</t>
  </si>
  <si>
    <t>x</t>
  </si>
  <si>
    <t>Tiền Mặt - VND</t>
  </si>
  <si>
    <t>Tiền mặt - Ngoại tệ</t>
  </si>
  <si>
    <t>Tiền mặt - USD</t>
  </si>
  <si>
    <t>Tiền Gửi Ngân Hàng</t>
  </si>
  <si>
    <t>Tiền gửi ngân hàng-VND</t>
  </si>
  <si>
    <t>Tiền gửi ngân hàng - Ngoại tệ</t>
  </si>
  <si>
    <t>Tiền Đang Chuyển</t>
  </si>
  <si>
    <t>Tiền đang chuyển-VND</t>
  </si>
  <si>
    <t>Chứng khoán kinh doanh</t>
  </si>
  <si>
    <t>Cổ phiếu</t>
  </si>
  <si>
    <t>Trái phiếu</t>
  </si>
  <si>
    <t>Chứng khoán và công cụ tài chính khác</t>
  </si>
  <si>
    <t>Đầu tư nắm giữ đến ngày đáo hạn</t>
  </si>
  <si>
    <t>Tiền gửi có kỳ hạn</t>
  </si>
  <si>
    <t>Cho vay</t>
  </si>
  <si>
    <t>Phải thu khách hàng</t>
  </si>
  <si>
    <t>Khách hàng trả tiền trước</t>
  </si>
  <si>
    <t>Thuế GTGT được khấu trừ HH, DV</t>
  </si>
  <si>
    <t>Thuế GTGT được khấu trừ của hàng hóa, dịch vụ trong nước</t>
  </si>
  <si>
    <t>Thuế GTGT được khấu trừ của hàng hóa, dịch vụ nhập khẩu</t>
  </si>
  <si>
    <t>Phải thu nội bộ</t>
  </si>
  <si>
    <t>Vốn kinh doanh ở các đơn vị trực thuộc</t>
  </si>
  <si>
    <t>Phải thu nội bộ khác</t>
  </si>
  <si>
    <t>Phải thu khác</t>
  </si>
  <si>
    <t>Tài sản thiếu chờ xử lý</t>
  </si>
  <si>
    <t>Phải thu về cổ phần hóa</t>
  </si>
  <si>
    <t>Customer</t>
  </si>
  <si>
    <t>Tạm ứng</t>
  </si>
  <si>
    <t>Hàng mua đang đi đường</t>
  </si>
  <si>
    <t>Nguyên liệu, vật liệu</t>
  </si>
  <si>
    <t>Công cụ, dụng cụ</t>
  </si>
  <si>
    <t>Bao bì luân chuyển</t>
  </si>
  <si>
    <t>Đồ dùng cho thuê</t>
  </si>
  <si>
    <t>Thiết bị, phụ tùng thay thế</t>
  </si>
  <si>
    <t>Chi phí sản xuất, kinh doanh dở dang</t>
  </si>
  <si>
    <t>Thành phẩm</t>
  </si>
  <si>
    <t>Thành phẩm bất động sản</t>
  </si>
  <si>
    <t>Hàng hóa</t>
  </si>
  <si>
    <t>Giá mua hàng hóa</t>
  </si>
  <si>
    <t>Hàng gửi đi bán</t>
  </si>
  <si>
    <t>Tài sản cố định hữu hình</t>
  </si>
  <si>
    <t>Nhà cửa, vật kiến trúc</t>
  </si>
  <si>
    <t>Máy móc, thiết bị</t>
  </si>
  <si>
    <t>Phương tiện vận tải, truyền dẫn</t>
  </si>
  <si>
    <t>Thiết bị, dụng cụ quản lý</t>
  </si>
  <si>
    <t>Cây lâu năm , súc vật làm việc và cho sản phẩm</t>
  </si>
  <si>
    <t>TSCĐ khác</t>
  </si>
  <si>
    <t>TSCĐ thuê tài chính</t>
  </si>
  <si>
    <t>TSCĐ hữu hình thuê tài chính</t>
  </si>
  <si>
    <t>TSCĐ vô hình thuê tài chính</t>
  </si>
  <si>
    <t>TSCĐ vô hình</t>
  </si>
  <si>
    <t>Quyền sử dụng đất</t>
  </si>
  <si>
    <t>Quyền phát hành</t>
  </si>
  <si>
    <t>Bản quyền, bằng sáng chế</t>
  </si>
  <si>
    <t>Nhãn hiệu, tên thương mại</t>
  </si>
  <si>
    <t>Chương trình phần mềm</t>
  </si>
  <si>
    <t>Giấy phép và giấy phép nhượng quyền</t>
  </si>
  <si>
    <t>TSCĐ vô hình khác</t>
  </si>
  <si>
    <t>Hao mòn TSCĐ</t>
  </si>
  <si>
    <t>Hao mòn TSCĐ hữu hình</t>
  </si>
  <si>
    <t>Cây lâu năm, súc vật làm việc và cho sản phẩm</t>
  </si>
  <si>
    <t>Hao mòn TSCĐ thuê tài chính</t>
  </si>
  <si>
    <t>Hao mòn TSCĐ vô hình</t>
  </si>
  <si>
    <t>Nhãn hiệu hàng hóa, lợi thế thương mại</t>
  </si>
  <si>
    <t>Phần mềm máy vi tính</t>
  </si>
  <si>
    <t>Hao mòn bất động sản đầu tư</t>
  </si>
  <si>
    <t>Quyền sử dụng đất, quyền thuê đất</t>
  </si>
  <si>
    <t>Bất động sản đầu tư</t>
  </si>
  <si>
    <t>Đầu tư vào công ty con</t>
  </si>
  <si>
    <t>Đầu tư vào công ty liên doanh, liên kết</t>
  </si>
  <si>
    <t>Đầu tư khác</t>
  </si>
  <si>
    <t>Đầu tư góp vốn vào đơn vị khác</t>
  </si>
  <si>
    <t>Dự phòng tổn thất tài sản</t>
  </si>
  <si>
    <t>Dự phòng giảm giá chứng khoán kinh doanh</t>
  </si>
  <si>
    <t>Dự phòng tổn thất đầu tư vào đơn vị khác</t>
  </si>
  <si>
    <t>Dự phòng phải thu khó đòi</t>
  </si>
  <si>
    <t>Dự phòng giảm giá hàng tồn kho</t>
  </si>
  <si>
    <t>Xây dựng cơ bản dở dang</t>
  </si>
  <si>
    <t>Mua sắm TSCĐ</t>
  </si>
  <si>
    <t>Sửa chữa lớn TSCĐ</t>
  </si>
  <si>
    <t>Chi phí trả trước ngắn hạn</t>
  </si>
  <si>
    <t>Chi phí phân bổ CCDC_ngắn hạn</t>
  </si>
  <si>
    <t>Chi phí khác SD nhiều thời kỳ_ngắn hạn</t>
  </si>
  <si>
    <t>Chi phí trả trước dài hạn</t>
  </si>
  <si>
    <t>Chi phí phân bổ CCDC_dài hạn</t>
  </si>
  <si>
    <t>Chi phí khác SD nhiều thời kỳ_dài hạn</t>
  </si>
  <si>
    <t>Tài sản thuế thu nhập hoãn lại</t>
  </si>
  <si>
    <t xml:space="preserve">Cầm cố, thế chấp, ký quỹ, ký cược </t>
  </si>
  <si>
    <t>Cầm cố, thế chấp, ký quỹ, ký cược ngắn hạn</t>
  </si>
  <si>
    <t>Cầm cố, thế chấp, ký quỹ, ký cược dài hạn</t>
  </si>
  <si>
    <t>Phải trả nhà cung cấp</t>
  </si>
  <si>
    <t>Trả trước nhà cung cấp</t>
  </si>
  <si>
    <t>Clearing - PO&amp;Payables</t>
  </si>
  <si>
    <t>Thuế và các khoản phải nộp nhà nước</t>
  </si>
  <si>
    <t>Thuế giá trị gia tăng phải nộp</t>
  </si>
  <si>
    <t>Thuế GTGT đầu ra</t>
  </si>
  <si>
    <t>Thuế GTGT hàng nhập khẩu</t>
  </si>
  <si>
    <t>Thuế tiêu thu đặc biệt</t>
  </si>
  <si>
    <t>Thuế xuất, nhập khẩu</t>
  </si>
  <si>
    <t>Thuế thu nhập doanh nghiệp</t>
  </si>
  <si>
    <t>Thuế thu nhập cá nhân</t>
  </si>
  <si>
    <t>Thuế tài nguyên</t>
  </si>
  <si>
    <t>Thuế nhà đất, tiền thuê đất</t>
  </si>
  <si>
    <t>Thuế bảo vệ môi trường và các loại thuế khác</t>
  </si>
  <si>
    <t>Thuế bảo vệ môi trường</t>
  </si>
  <si>
    <t>Thuế môn bài</t>
  </si>
  <si>
    <t>Thuế thuê nhà (GTGT+TNCN)</t>
  </si>
  <si>
    <t>Phí, lệ phí và các khoản phải nộp khác</t>
  </si>
  <si>
    <t>Phải trả công nhân viên</t>
  </si>
  <si>
    <t>Phải trả lương nhân viên</t>
  </si>
  <si>
    <t>Chi phí phải trả</t>
  </si>
  <si>
    <t>Trích trước chi phí phúc lợi cho CBCNV</t>
  </si>
  <si>
    <t>Trích trươc chi phí lãi vay</t>
  </si>
  <si>
    <t>Trích trước chi phí kiểm toán</t>
  </si>
  <si>
    <t>Phải trả nội bộ</t>
  </si>
  <si>
    <t>Phải trả nội bộ về vốn kinh doanh</t>
  </si>
  <si>
    <t>Phải trà nội bộ về chênh lệch tỷ giá</t>
  </si>
  <si>
    <t>Phải trả nội bộ về chi phí đi vay đủ điều kiện được vốn hóa</t>
  </si>
  <si>
    <t>Phải trả nội bộ khác</t>
  </si>
  <si>
    <t>Thanh toán theo tiến độ kế hoạch hợp đồng xây dựng</t>
  </si>
  <si>
    <t>Phải trả, phải nộp khác</t>
  </si>
  <si>
    <t>Tài sản thừa chờ giải quyết</t>
  </si>
  <si>
    <t>Kinh phí công đoàn</t>
  </si>
  <si>
    <t>Bảo hiểm xã hội</t>
  </si>
  <si>
    <t>Bảo hiểm y tế</t>
  </si>
  <si>
    <t>Phải trả về cổ phần hóa</t>
  </si>
  <si>
    <t>Bảo hiểm thất nghiệp</t>
  </si>
  <si>
    <t>Doanh thu chưa thực hiện</t>
  </si>
  <si>
    <t>Vay, nợ thuê tài chính</t>
  </si>
  <si>
    <t>Các khoản đi vay</t>
  </si>
  <si>
    <t>Vay ngắn hạn</t>
  </si>
  <si>
    <t>Vay dài hạn</t>
  </si>
  <si>
    <t>Nợ thuê tài chính</t>
  </si>
  <si>
    <t>Nhận ký quỹ, ký cược</t>
  </si>
  <si>
    <t>Nhận ký quỹ, ký cược_ngắn hạn</t>
  </si>
  <si>
    <t>Nhận ký quỹ, ký cược_dài hạn</t>
  </si>
  <si>
    <t>Thuế thu nhập hoãn lại phải trả</t>
  </si>
  <si>
    <t>Dự phòng phải trả</t>
  </si>
  <si>
    <t>Dự phòng bảo hành sản phẩm hàng hóa</t>
  </si>
  <si>
    <t>Dự phòng bảo hành công trình xây dựng</t>
  </si>
  <si>
    <t>Dự phòng tái cơ cấu doanh nghiệp</t>
  </si>
  <si>
    <t>Dự phòng phải trả khác</t>
  </si>
  <si>
    <t>Quỹ khen thưởng phúc lợi</t>
  </si>
  <si>
    <t>Quỹ khen thưởng</t>
  </si>
  <si>
    <t>Quỹ phúc lợi</t>
  </si>
  <si>
    <t>Quỹ phúc lợi đã hình thành tài sản</t>
  </si>
  <si>
    <t>Quỹ thưởng ban quản lý điều hành công ty</t>
  </si>
  <si>
    <t>Quỹ phát triển khoa học và công nghệ</t>
  </si>
  <si>
    <t>Quỹ phát triển khoa học và công nghệ đã hình thành TSCĐ</t>
  </si>
  <si>
    <t>Quỹ bình ổn giá</t>
  </si>
  <si>
    <t>Vốn đầu tư của chủ sở hữu</t>
  </si>
  <si>
    <t>Cổ phiếu phổ thông có quyền biểu quyết</t>
  </si>
  <si>
    <t>Cổ phiếu ưu đãi</t>
  </si>
  <si>
    <t>Thặng dư vốn cổ phần</t>
  </si>
  <si>
    <t>Quyền chọn chuyển đổi trái phiếu</t>
  </si>
  <si>
    <t>Vốn khác</t>
  </si>
  <si>
    <t>Chênh lệch đánh giá lại tài sản</t>
  </si>
  <si>
    <t>Chênh lệch tỷ giá hối đoái</t>
  </si>
  <si>
    <t>Quỹ đầu tư phát triển</t>
  </si>
  <si>
    <t>Quỹ hỗ trợ sắp xếp doanh nghiệp</t>
  </si>
  <si>
    <t>Các quỹ khác thuộc vốn chủ sở hữu</t>
  </si>
  <si>
    <t>Cổ phiếu quỹ</t>
  </si>
  <si>
    <t>Lợi nhuận sau thuế chưa phân phối</t>
  </si>
  <si>
    <t>Lợi nhuận sau thuế chưa phân phối năm trước</t>
  </si>
  <si>
    <t>Lợi nhuận sau thuế chưa phân phối năm nay</t>
  </si>
  <si>
    <t>Nguồn vốn đầu tư xây dựng cơ bản</t>
  </si>
  <si>
    <t>Doanh thu bán hàng và cung cấp dịch vụ</t>
  </si>
  <si>
    <t>Doanh thu bán hàng hóa</t>
  </si>
  <si>
    <t>Doanh thu bán các thành phẩm</t>
  </si>
  <si>
    <t>Doanh thu dịch vụ</t>
  </si>
  <si>
    <t>Doanh thu trợ cấp, trợ giá</t>
  </si>
  <si>
    <t>Doanh thu kinh doanh bất động sản đầu tư</t>
  </si>
  <si>
    <t>Doanh thu khác</t>
  </si>
  <si>
    <t>Doanh thu nội bộ</t>
  </si>
  <si>
    <t>Doanh thu hoạt động tài chính</t>
  </si>
  <si>
    <t>Doanh thu đầu tư tài chính</t>
  </si>
  <si>
    <t>Doanh thu tài chính do chênh lệch tỷ giá</t>
  </si>
  <si>
    <t>Các khoản giảm trừ doanh thu</t>
  </si>
  <si>
    <t xml:space="preserve">Chiết khấu thương mại </t>
  </si>
  <si>
    <t xml:space="preserve">Hàng bán bị trả lại </t>
  </si>
  <si>
    <t>Giảm giá hàng bán</t>
  </si>
  <si>
    <t>Chi phí nguyên liệu, vật liệu trực tiếp</t>
  </si>
  <si>
    <t>Chi phí nhân công trực tiếp</t>
  </si>
  <si>
    <t>Chi phí sản xuất chung</t>
  </si>
  <si>
    <t xml:space="preserve">Chi phí nhân viên </t>
  </si>
  <si>
    <t>Chi phí vật liệu</t>
  </si>
  <si>
    <t>Chi phí dụng cụ SX</t>
  </si>
  <si>
    <t>Chi phí khấu hao TSCĐ</t>
  </si>
  <si>
    <t>Chi phí dịch vụ mua ngoài</t>
  </si>
  <si>
    <t>Chi phí bằng tiền khác</t>
  </si>
  <si>
    <t>Giá vốn hàng bán</t>
  </si>
  <si>
    <t>Điều chỉnh giá vốn</t>
  </si>
  <si>
    <t>Chi phí tài chính</t>
  </si>
  <si>
    <t>Chi phí lãi vay</t>
  </si>
  <si>
    <t>Chi phí tài chính do chênh lệch tỷ giá</t>
  </si>
  <si>
    <t>Chi phí bán hàng</t>
  </si>
  <si>
    <t>Chi phí vật liệu, bao bì</t>
  </si>
  <si>
    <t>Chi phí dụng cụ, đồ dùng</t>
  </si>
  <si>
    <t>Chi phí bảo hành</t>
  </si>
  <si>
    <t>Chi phí quảng cáo, chiết khấu, khuyến mãi</t>
  </si>
  <si>
    <t>Chi phí nhân viên</t>
  </si>
  <si>
    <t>Chi phí vật liệu quản lý</t>
  </si>
  <si>
    <t>Chi phí đồ dùng văn phòng</t>
  </si>
  <si>
    <t>Chi phí khấu hao tài sản</t>
  </si>
  <si>
    <t>Thuế, phí và lệ phí</t>
  </si>
  <si>
    <t>Chi phí dự phòng</t>
  </si>
  <si>
    <t>Chi phí dự phòng nợ phải thu khó đòi</t>
  </si>
  <si>
    <t>Chi phí dự phòng khác</t>
  </si>
  <si>
    <t>Thu nhập khác</t>
  </si>
  <si>
    <t>Thu nhượng, bán, thanh lý tài sản</t>
  </si>
  <si>
    <t>Thu nhập bất thường khác</t>
  </si>
  <si>
    <t>Chi phí khác</t>
  </si>
  <si>
    <t>Chi phí thanh lý (Giá trị còn lại)</t>
  </si>
  <si>
    <t>Chi phí thanh lý khác</t>
  </si>
  <si>
    <t>Chi phí bất thường khác</t>
  </si>
  <si>
    <t>Chi phí thuế TNDN</t>
  </si>
  <si>
    <t>Chi phí thuế TNDN hiện hành</t>
  </si>
  <si>
    <t>Chi phí thuế TNDN hoãn lại</t>
  </si>
  <si>
    <t>Xác định KQKD</t>
  </si>
  <si>
    <t>Tài khoản Ngoài bảng</t>
  </si>
  <si>
    <t>001</t>
  </si>
  <si>
    <t>Tài sản thuê ngoài</t>
  </si>
  <si>
    <t>002</t>
  </si>
  <si>
    <t>Vật tư, hàng hoá nhận giữ hộ, nhận gia công</t>
  </si>
  <si>
    <t>003</t>
  </si>
  <si>
    <t>Hàng hoá nhận bán hộ, nhận ký gửi, ký cược</t>
  </si>
  <si>
    <t>004</t>
  </si>
  <si>
    <t>Nợ khó đòi đã xử lý</t>
  </si>
  <si>
    <t>007</t>
  </si>
  <si>
    <t>Ngoại tệ các loại</t>
  </si>
  <si>
    <t>008</t>
  </si>
  <si>
    <t>Dự toán chi sự nghiệp, dự án</t>
  </si>
  <si>
    <t>Mã</t>
  </si>
  <si>
    <t>Giá trị</t>
  </si>
  <si>
    <t>Level</t>
  </si>
  <si>
    <t>Thuộc tài khoản</t>
  </si>
  <si>
    <t>1</t>
  </si>
  <si>
    <t>NGÂN HÀNG TMCP CÔNG THƯƠNG VN</t>
  </si>
  <si>
    <t>2</t>
  </si>
  <si>
    <t>NGÂN HÀNG TMCP QUÂN ĐỘI</t>
  </si>
  <si>
    <t>Chi phí nhân sự</t>
  </si>
  <si>
    <t>Chi phí lương nhân viên</t>
  </si>
  <si>
    <t>Chi phí phụ cấp nhân viên, phúc lợi</t>
  </si>
  <si>
    <t>Chi phí lương nhân viên tháng 13</t>
  </si>
  <si>
    <t>Chi phí tuyển dụng, đào tạo</t>
  </si>
  <si>
    <t>Chi phí lương nhân viên thời vụ</t>
  </si>
  <si>
    <t>Chi phí bao bì, vật tư</t>
  </si>
  <si>
    <t>Chi phí mua văn phòng phẩm</t>
  </si>
  <si>
    <t>Chi phí khấu hao</t>
  </si>
  <si>
    <t>Khấu hao/Nhà cửa, vật kiến trúc</t>
  </si>
  <si>
    <t>Khấu hao/Máy móc, thiết bị</t>
  </si>
  <si>
    <t>Khấu hao/Phương tiện vận tải</t>
  </si>
  <si>
    <t>Khấu hao/Thiết bị, dụng cụ quản lý</t>
  </si>
  <si>
    <t>Chi phí thuế, phí</t>
  </si>
  <si>
    <t>Thuế nhà thầu (GTGT+TNCN)</t>
  </si>
  <si>
    <t>Chi phí sử dung điện</t>
  </si>
  <si>
    <t>Chi phí sử dung nước</t>
  </si>
  <si>
    <t>Phí bảo lãnh ngân hàng</t>
  </si>
  <si>
    <t>Chi phí ngoại giao</t>
  </si>
  <si>
    <t>Chi phí tiếp khách</t>
  </si>
  <si>
    <t>Chi phí liên hoan, hội họp</t>
  </si>
  <si>
    <t>Chi phí hoa hồng khách hàng</t>
  </si>
  <si>
    <t>Viết tắt</t>
  </si>
  <si>
    <t>Bank</t>
  </si>
  <si>
    <t>Branch</t>
  </si>
  <si>
    <t>Account</t>
  </si>
  <si>
    <t>Vietinbank</t>
  </si>
  <si>
    <t>MB</t>
  </si>
  <si>
    <t>VCB</t>
  </si>
  <si>
    <t xml:space="preserve">NGÂN HÀNG NGOẠI THƯƠNG VN </t>
  </si>
  <si>
    <t>BIDV</t>
  </si>
  <si>
    <t>NGÂN HÀNG TMCP ĐẦU TƯ &amp; PHÁT TRIỂN VN</t>
  </si>
  <si>
    <t>ACB</t>
  </si>
  <si>
    <t>NGÂN HÀNG TMCP Á CHÂU</t>
  </si>
  <si>
    <t>VIB</t>
  </si>
  <si>
    <t>NGÂN HÀNG TMCP QUỐC TẾ</t>
  </si>
  <si>
    <t>TCB</t>
  </si>
  <si>
    <t>NGÂN HÀNG TMCP KỸ THƯƠNG VN</t>
  </si>
  <si>
    <t>Segment 6 : xxxx (Khu vực - Area)</t>
  </si>
  <si>
    <t>Value</t>
  </si>
  <si>
    <t>Description</t>
  </si>
  <si>
    <t>0000</t>
  </si>
  <si>
    <t>Mặc định</t>
  </si>
  <si>
    <t>1000</t>
  </si>
  <si>
    <t>Miền Nam</t>
  </si>
  <si>
    <t>1100</t>
  </si>
  <si>
    <t>Hồ Chí Minh</t>
  </si>
  <si>
    <t>1101</t>
  </si>
  <si>
    <t>1200</t>
  </si>
  <si>
    <t>Đông Nam Bộ</t>
  </si>
  <si>
    <t>1201</t>
  </si>
  <si>
    <t>Bình Dương</t>
  </si>
  <si>
    <t>1202</t>
  </si>
  <si>
    <t>Vũng Tàu</t>
  </si>
  <si>
    <t>1300</t>
  </si>
  <si>
    <t>Tây Nam Bộ</t>
  </si>
  <si>
    <t>1301</t>
  </si>
  <si>
    <t>Long An</t>
  </si>
  <si>
    <t>1302</t>
  </si>
  <si>
    <t>Đồng Nai</t>
  </si>
  <si>
    <t>1303</t>
  </si>
  <si>
    <t>Bến Tre</t>
  </si>
  <si>
    <t>2000</t>
  </si>
  <si>
    <t>Miền Bắc</t>
  </si>
  <si>
    <t>2100</t>
  </si>
  <si>
    <t>Hà Nội</t>
  </si>
  <si>
    <t>2101</t>
  </si>
  <si>
    <t>2200</t>
  </si>
  <si>
    <t>Đồng bằng Bắc Bộ</t>
  </si>
  <si>
    <t>2201</t>
  </si>
  <si>
    <t>Bắc Ninh</t>
  </si>
  <si>
    <t>2202</t>
  </si>
  <si>
    <t>Hải Dương</t>
  </si>
  <si>
    <t>2203</t>
  </si>
  <si>
    <t>Hải Phòng</t>
  </si>
  <si>
    <t>2204</t>
  </si>
  <si>
    <t>Vĩnh Phúc</t>
  </si>
  <si>
    <t>2300</t>
  </si>
  <si>
    <t>Đông Bắc Bộ</t>
  </si>
  <si>
    <t>2301</t>
  </si>
  <si>
    <t>Quảng Ninh</t>
  </si>
  <si>
    <t>2302</t>
  </si>
  <si>
    <t>Thái Nguyên</t>
  </si>
  <si>
    <t>3000</t>
  </si>
  <si>
    <t>Miền Trung &amp; Tây Nguyên</t>
  </si>
  <si>
    <t>3100</t>
  </si>
  <si>
    <t>Bắc Trung Bộ</t>
  </si>
  <si>
    <t>3101</t>
  </si>
  <si>
    <t>Thanh Hóa</t>
  </si>
  <si>
    <t>3200</t>
  </si>
  <si>
    <t>Nam Trung Bộ</t>
  </si>
  <si>
    <t>3300</t>
  </si>
  <si>
    <t>Tây Nguyên</t>
  </si>
  <si>
    <t>4000</t>
  </si>
  <si>
    <t>Online</t>
  </si>
  <si>
    <t>4100</t>
  </si>
  <si>
    <t>Mặc định</t>
  </si>
  <si>
    <t>Kết chuyển</t>
  </si>
  <si>
    <t>000</t>
  </si>
  <si>
    <t>00</t>
  </si>
  <si>
    <t>Proposed Chart of Accounts</t>
  </si>
  <si>
    <t>Legal Entity</t>
  </si>
  <si>
    <t>Sub-Account</t>
  </si>
  <si>
    <t>Cost center</t>
  </si>
  <si>
    <t>Business Line</t>
  </si>
  <si>
    <t>Intercompany</t>
  </si>
  <si>
    <t>Reserve</t>
  </si>
  <si>
    <t>Exp1:</t>
  </si>
  <si>
    <t>Segment name</t>
  </si>
  <si>
    <t>Employees cost</t>
  </si>
  <si>
    <t xml:space="preserve">Basis salary </t>
  </si>
  <si>
    <t>Financial Accounting</t>
  </si>
  <si>
    <t>Default</t>
  </si>
  <si>
    <t>GL account</t>
  </si>
  <si>
    <t>Exp2:</t>
  </si>
  <si>
    <t>Trade account receivable</t>
  </si>
  <si>
    <t>Brand</t>
  </si>
  <si>
    <t>Basis salary</t>
  </si>
  <si>
    <t>DTC</t>
  </si>
  <si>
    <t>Exp3:</t>
  </si>
  <si>
    <t>Revenue</t>
  </si>
  <si>
    <t>Cake &amp; Ice dream</t>
  </si>
  <si>
    <t>Korean</t>
  </si>
  <si>
    <t>CHANNEL</t>
  </si>
  <si>
    <t>Channel</t>
  </si>
  <si>
    <t>Shop in shop</t>
  </si>
  <si>
    <t>11.642101.3101.103.000.000.000.00.000</t>
  </si>
  <si>
    <t>11.131101.0000.000.000.000.000.12.000</t>
  </si>
  <si>
    <t>11.511101.0000.000.101.101.101.00.000</t>
  </si>
  <si>
    <t>Seg 9</t>
  </si>
  <si>
    <t>Ledger code</t>
  </si>
  <si>
    <t>OU code</t>
  </si>
  <si>
    <t>FA book</t>
  </si>
  <si>
    <t>Tel</t>
  </si>
  <si>
    <t>Fax</t>
  </si>
  <si>
    <t>HCM</t>
  </si>
  <si>
    <t>Quận 1</t>
  </si>
  <si>
    <t>Quận 2</t>
  </si>
  <si>
    <t>Nha Trang</t>
  </si>
  <si>
    <t>Kem</t>
  </si>
  <si>
    <t>Diễn giải</t>
  </si>
  <si>
    <t>level</t>
  </si>
  <si>
    <t>ABBANK</t>
  </si>
  <si>
    <t xml:space="preserve">NGÂN HÀNG TM CP AN BÌNH </t>
  </si>
  <si>
    <t>MSB</t>
  </si>
  <si>
    <t xml:space="preserve">NGÂN HÀNG TM CP HÀNG HẢI VIỆT NAM </t>
  </si>
  <si>
    <t>BVB</t>
  </si>
  <si>
    <t>NGÂN HÀNG TMCP BẢO VIỆT</t>
  </si>
  <si>
    <t xml:space="preserve">NGÂN HÀNG TMCP CÔNG THƯƠNG </t>
  </si>
  <si>
    <t>SeABank</t>
  </si>
  <si>
    <t>NGÂN HÀNG TMCP ĐÔNG NAM Á ( SEABANK)</t>
  </si>
  <si>
    <t>NamA Bank</t>
  </si>
  <si>
    <t xml:space="preserve">NGÂN HÀNG TMCP NAM Á </t>
  </si>
  <si>
    <t>VDB</t>
  </si>
  <si>
    <t xml:space="preserve">NGÂN HÀNG TMCP PHÁT TRIỂN TP.HCM </t>
  </si>
  <si>
    <t>OCB</t>
  </si>
  <si>
    <t xml:space="preserve">NGÂN HÀNG TMCP PHƯƠNG ĐÔNG </t>
  </si>
  <si>
    <t>STB</t>
  </si>
  <si>
    <t xml:space="preserve">NGÂN HÀNG TMCP SÀI GÒN THƯƠNG TÍN </t>
  </si>
  <si>
    <t>TPBank</t>
  </si>
  <si>
    <t>NGÂN HÀNG TMCP TIÊN PHONG</t>
  </si>
  <si>
    <t>VPBank</t>
  </si>
  <si>
    <t xml:space="preserve">NGÂN HÀNG TMCP VIỆT NAM THỊNH VƯỢNG </t>
  </si>
  <si>
    <t>VietBank</t>
  </si>
  <si>
    <t xml:space="preserve">NGÂN HÀNG TMCP VIỆT NAM THƯƠNG TÍN </t>
  </si>
  <si>
    <t>ANZ</t>
  </si>
  <si>
    <t>NGÂN HÀNG TNHH MTV ANZ (VIỆT NAM)</t>
  </si>
  <si>
    <t>HSBC</t>
  </si>
  <si>
    <t>NGÂN HÀNG TNHH MTV HSBC</t>
  </si>
  <si>
    <t>Chi đóng góp từ thiện</t>
  </si>
  <si>
    <t>Doanh thu tài chính do chênh lệch tỷ giá đã thực hiện</t>
  </si>
  <si>
    <t>Doanh thu tài chính do chênh lệch tỷ giá chưa thực hiện</t>
  </si>
  <si>
    <t>Chi phí tài chính do chênh lệch tỷ giá chưa thực hiện</t>
  </si>
  <si>
    <t>Chi phí tài chính do chênh lệch tỷ giá đã thực hiện</t>
  </si>
  <si>
    <t>Chi phí mua mới, sửa chữa, bảo trì (phần mềm, HT mạng…)</t>
  </si>
  <si>
    <t>Các khoản phí và lệ phí khác</t>
  </si>
  <si>
    <t>Khấu hao TSVH/Quyền sử dụng đất</t>
  </si>
  <si>
    <t>Khấu hao TSVH /Quyền phát hành</t>
  </si>
  <si>
    <t>Khấu hao TSVH /Bản quyền, bằng sáng chế</t>
  </si>
  <si>
    <t>Khấu hao TSVH /Nhãn hiệu, tên thương mại</t>
  </si>
  <si>
    <t>Khấu hao TSVH/Phần mềm quản lý</t>
  </si>
  <si>
    <t>Khấu hao TSVH /Giấy phép và giấy phép nhượng quyền</t>
  </si>
  <si>
    <t>Khấu hao TSVH /Khác</t>
  </si>
  <si>
    <t>Chi phí mua đồng phục</t>
  </si>
  <si>
    <t>Việt Nam</t>
  </si>
  <si>
    <t>Hồ Chí Minh</t>
  </si>
  <si>
    <t>Tiền Giang</t>
  </si>
  <si>
    <t>Thành phố Cần Thơ</t>
  </si>
  <si>
    <t>Miền Trung</t>
  </si>
  <si>
    <t>Bắc Trung Bộ</t>
  </si>
  <si>
    <t>Nghệ An</t>
  </si>
  <si>
    <t>Thanh Hóa</t>
  </si>
  <si>
    <t>Hà Tĩnh</t>
  </si>
  <si>
    <t>Quảng Bình</t>
  </si>
  <si>
    <t>Quảng Trị</t>
  </si>
  <si>
    <t>Thừa Thiên-Huế</t>
  </si>
  <si>
    <t>Đà Nẵng</t>
  </si>
  <si>
    <t>Quảng Nam</t>
  </si>
  <si>
    <t>Khánh Hoà</t>
  </si>
  <si>
    <t>Ninh Thuận</t>
  </si>
  <si>
    <t>Bình Thuận</t>
  </si>
  <si>
    <t>Phú Yên</t>
  </si>
  <si>
    <t>Bình Định</t>
  </si>
  <si>
    <t>Quảng Ngãi</t>
  </si>
  <si>
    <t>Lâm Đồng</t>
  </si>
  <si>
    <t>Kon Tum</t>
  </si>
  <si>
    <t>Gia Lai</t>
  </si>
  <si>
    <t>Đắc Lắc</t>
  </si>
  <si>
    <t>Miền Bắc</t>
  </si>
  <si>
    <t>Đồng bằng sông Hồng</t>
  </si>
  <si>
    <t>Hà Giang</t>
  </si>
  <si>
    <t>Cao Bằng</t>
  </si>
  <si>
    <t>Lạng Sơn</t>
  </si>
  <si>
    <t>Tây Bắc Bộ</t>
  </si>
  <si>
    <t>Lào Cai</t>
  </si>
  <si>
    <t>Lai Châu</t>
  </si>
  <si>
    <t>Mã quốc gia. Mã miền.Mã vùng. Mã tỉnh thành. Mã quận huyện. Mã phường xã</t>
  </si>
  <si>
    <t>Thành phố Thủ Dầu Một</t>
  </si>
  <si>
    <t>Thành phố Dĩ An</t>
  </si>
  <si>
    <t>Thành phố Biên Hòa</t>
  </si>
  <si>
    <t>Huyện Thống Nhất</t>
  </si>
  <si>
    <t>Thành phố Vũng Tàu</t>
  </si>
  <si>
    <t>Phường Thắng Nhất</t>
  </si>
  <si>
    <t>Phường Thắng Nhì</t>
  </si>
  <si>
    <t>Thành phố Tân An</t>
  </si>
  <si>
    <t>Huyện Tân Hưng</t>
  </si>
  <si>
    <t>Thành phố Mỹ Tho</t>
  </si>
  <si>
    <t>Huyện Chợ Gạo</t>
  </si>
  <si>
    <t>Quận Ninh Kiều</t>
  </si>
  <si>
    <t>Quận Cái Răng</t>
  </si>
  <si>
    <t>Quận Cầu Giấy</t>
  </si>
  <si>
    <t>Quận Đống Đa</t>
  </si>
  <si>
    <t>Thành phố Bắc Ninh</t>
  </si>
  <si>
    <t>Thành phố Hà Giang</t>
  </si>
  <si>
    <t>Thành phố Cao Bằng</t>
  </si>
  <si>
    <t>Thành phố Lạng Sơn</t>
  </si>
  <si>
    <t>Segment 4 : x.xx.xx.xx.xx.xx (Vị trí - Location)</t>
  </si>
  <si>
    <t>Thành phố Lào Cai</t>
  </si>
  <si>
    <t>Phường Quyết Thắng</t>
  </si>
  <si>
    <t>CN KHANH HOA</t>
  </si>
  <si>
    <t>VND</t>
  </si>
  <si>
    <t>110002918467</t>
  </si>
  <si>
    <t>Dak Lak</t>
  </si>
  <si>
    <t>USD</t>
  </si>
  <si>
    <t>CN DA NANG</t>
  </si>
  <si>
    <t>CN Dak Lak</t>
  </si>
  <si>
    <t>CN HA NOI</t>
  </si>
  <si>
    <t>CN HOANG VAN THU</t>
  </si>
  <si>
    <t>Chủ tịch HĐQT</t>
  </si>
  <si>
    <t>Clearing - AP Prepayment &amp; Mixed</t>
  </si>
  <si>
    <t>Trích trước chi phí marketing, trading term</t>
  </si>
  <si>
    <t>Phải thu khác</t>
  </si>
  <si>
    <t>Reserve for Encumbrance Account (RFE)</t>
  </si>
  <si>
    <t>ACCOUNT_TYPE</t>
  </si>
  <si>
    <t>THIRD_PARTY_CONTROL</t>
  </si>
  <si>
    <t>RECONCILE</t>
  </si>
  <si>
    <t>Asset</t>
  </si>
  <si>
    <t>Liability</t>
  </si>
  <si>
    <t>Ownership/Stockholder's Equity</t>
  </si>
  <si>
    <t>Expense</t>
  </si>
  <si>
    <t>Y</t>
  </si>
  <si>
    <t>Supplier</t>
  </si>
  <si>
    <t>TIỀN MẶT</t>
  </si>
  <si>
    <t>TM-HCM</t>
  </si>
  <si>
    <t>VTB-KHANHHOA-VND-8467</t>
  </si>
  <si>
    <t>VCB-KHANHHOA-VND-5620</t>
  </si>
  <si>
    <t>VCB-HOANGVANTHU-VND-0750</t>
  </si>
  <si>
    <t>VCB-DANANG-VND-3063</t>
  </si>
  <si>
    <t>VCB-DAKLAK-VND-6693</t>
  </si>
  <si>
    <t>VCB-HANOI-VND-0515</t>
  </si>
  <si>
    <t>VCB-KHANHHOA-USD-7004</t>
  </si>
  <si>
    <t>Segment 4: xx.xx (Phòng ban - Cost Center)</t>
  </si>
  <si>
    <t>HCM-Bộ phận Kinh doanh trực tiếp</t>
  </si>
  <si>
    <t>S&amp;M (tủ đông)</t>
  </si>
  <si>
    <t>LOG (xe tải, thiết bị máy móc…)</t>
  </si>
  <si>
    <t>Segment 2 : xxx.xx.xx (Tài khoản - Account)</t>
  </si>
  <si>
    <t>Segment 3 : xx.xxx(Chi tiết tài khoản - Sub Account)</t>
  </si>
  <si>
    <t>Seg 10</t>
  </si>
  <si>
    <t>Budget</t>
  </si>
  <si>
    <t>PR/PO (Encumbrance)</t>
  </si>
  <si>
    <t>AP Invoice (N Actual/C Encumbrance)</t>
  </si>
  <si>
    <t>FA Asset</t>
  </si>
  <si>
    <t>Asset cost</t>
  </si>
  <si>
    <t>Summary</t>
  </si>
  <si>
    <t>Sub</t>
  </si>
  <si>
    <t>Kinh doanh. CAPEX</t>
  </si>
  <si>
    <t>Depriciation</t>
  </si>
  <si>
    <t>641xxx</t>
  </si>
  <si>
    <t>HCM-Bộ phận logistic</t>
  </si>
  <si>
    <t>Account code</t>
  </si>
  <si>
    <t>Account Name</t>
  </si>
  <si>
    <t>BS Dr</t>
  </si>
  <si>
    <t>BS Cr</t>
  </si>
  <si>
    <t>111</t>
  </si>
  <si>
    <t>BS111</t>
  </si>
  <si>
    <t>11</t>
  </si>
  <si>
    <t>21</t>
  </si>
  <si>
    <t>112</t>
  </si>
  <si>
    <t>10</t>
  </si>
  <si>
    <t>12</t>
  </si>
  <si>
    <t>31</t>
  </si>
  <si>
    <t>113</t>
  </si>
  <si>
    <t>128</t>
  </si>
  <si>
    <t>BS123</t>
  </si>
  <si>
    <t>BS135</t>
  </si>
  <si>
    <t>131</t>
  </si>
  <si>
    <t>BS131</t>
  </si>
  <si>
    <t>20</t>
  </si>
  <si>
    <t>30</t>
  </si>
  <si>
    <t>90</t>
  </si>
  <si>
    <t>133</t>
  </si>
  <si>
    <t>BS152</t>
  </si>
  <si>
    <t>136</t>
  </si>
  <si>
    <t>138</t>
  </si>
  <si>
    <t>51</t>
  </si>
  <si>
    <t>81</t>
  </si>
  <si>
    <t>82</t>
  </si>
  <si>
    <t>141</t>
  </si>
  <si>
    <t>151</t>
  </si>
  <si>
    <t>152</t>
  </si>
  <si>
    <t>153</t>
  </si>
  <si>
    <t>41</t>
  </si>
  <si>
    <t>154</t>
  </si>
  <si>
    <t>155</t>
  </si>
  <si>
    <t>156</t>
  </si>
  <si>
    <t>157</t>
  </si>
  <si>
    <t>211</t>
  </si>
  <si>
    <t>212</t>
  </si>
  <si>
    <t>213</t>
  </si>
  <si>
    <t>61</t>
  </si>
  <si>
    <t>71</t>
  </si>
  <si>
    <t>214</t>
  </si>
  <si>
    <t>217</t>
  </si>
  <si>
    <t>221</t>
  </si>
  <si>
    <t>222</t>
  </si>
  <si>
    <t>228</t>
  </si>
  <si>
    <t>229</t>
  </si>
  <si>
    <t>241</t>
  </si>
  <si>
    <t>242</t>
  </si>
  <si>
    <t>243</t>
  </si>
  <si>
    <t>244</t>
  </si>
  <si>
    <t>331</t>
  </si>
  <si>
    <t>333</t>
  </si>
  <si>
    <t>91</t>
  </si>
  <si>
    <t>334</t>
  </si>
  <si>
    <t>335</t>
  </si>
  <si>
    <t>336</t>
  </si>
  <si>
    <t>337</t>
  </si>
  <si>
    <t>338</t>
  </si>
  <si>
    <t>341</t>
  </si>
  <si>
    <t>344</t>
  </si>
  <si>
    <t>347</t>
  </si>
  <si>
    <t>352</t>
  </si>
  <si>
    <t>353</t>
  </si>
  <si>
    <t>356</t>
  </si>
  <si>
    <t>357</t>
  </si>
  <si>
    <t>411</t>
  </si>
  <si>
    <t>412</t>
  </si>
  <si>
    <t>414</t>
  </si>
  <si>
    <t>417</t>
  </si>
  <si>
    <t>418</t>
  </si>
  <si>
    <t>419</t>
  </si>
  <si>
    <t>413</t>
  </si>
  <si>
    <t>421</t>
  </si>
  <si>
    <t>441</t>
  </si>
  <si>
    <t>511</t>
  </si>
  <si>
    <t>515</t>
  </si>
  <si>
    <t>521</t>
  </si>
  <si>
    <t>621</t>
  </si>
  <si>
    <t>622</t>
  </si>
  <si>
    <t>627</t>
  </si>
  <si>
    <t>632</t>
  </si>
  <si>
    <t>635</t>
  </si>
  <si>
    <t>641</t>
  </si>
  <si>
    <t>642</t>
  </si>
  <si>
    <t>711</t>
  </si>
  <si>
    <t>811</t>
  </si>
  <si>
    <t>821</t>
  </si>
  <si>
    <t>911</t>
  </si>
  <si>
    <t>Tiền gửi có kỳ hạn dưới 3 tháng</t>
  </si>
  <si>
    <t>Tiền gửi có kỳ hạn trên 3 tháng đến 12 tháng</t>
  </si>
  <si>
    <t>Tiền gửi ngân hàng-VND-VIETTINBANK</t>
  </si>
  <si>
    <t>Tiền gửi ngân hàng-VND-VIETCOMBANK</t>
  </si>
  <si>
    <t>Tiền gửi ngân hàng-USD-VIETCOMBANK</t>
  </si>
  <si>
    <t>01</t>
  </si>
  <si>
    <t>Tiền đang chuyển-Ngoại tệ</t>
  </si>
  <si>
    <t>02</t>
  </si>
  <si>
    <t>Tiền đang chuyển giữa 2 tài khoản ngân hàng</t>
  </si>
  <si>
    <t>Tiền đang chuyển trong 1 tài khoản ngân hàng khi chưa đối soát</t>
  </si>
  <si>
    <t>80</t>
  </si>
  <si>
    <t>Trung gian cấn trừ</t>
  </si>
  <si>
    <t>Phải thu chưa xác định đối tượng (Unidentifined)</t>
  </si>
  <si>
    <t xml:space="preserve">TK tiền ngân hàng trung gian cấn trừ </t>
  </si>
  <si>
    <t>40</t>
  </si>
  <si>
    <t>Măc đinh</t>
  </si>
  <si>
    <t>Ghi chú</t>
  </si>
  <si>
    <t>00000</t>
  </si>
  <si>
    <t>70</t>
  </si>
  <si>
    <t>50</t>
  </si>
  <si>
    <t>03</t>
  </si>
  <si>
    <t>04</t>
  </si>
  <si>
    <t>05</t>
  </si>
  <si>
    <t>06</t>
  </si>
  <si>
    <t>Mã Site. Mã Bộ phận</t>
  </si>
  <si>
    <t>Mã Site</t>
  </si>
  <si>
    <t>Mã Bộ phận</t>
  </si>
  <si>
    <t>Tên BP</t>
  </si>
  <si>
    <t>Mã COA</t>
  </si>
  <si>
    <t>HỒ CHÍ MINH</t>
  </si>
  <si>
    <t>NHA TRANG</t>
  </si>
  <si>
    <t>ĐẮC LẮC</t>
  </si>
  <si>
    <t>ĐÀ NẴNG</t>
  </si>
  <si>
    <t>HÀ NỘI</t>
  </si>
  <si>
    <t>CẦN THƠ</t>
  </si>
  <si>
    <t>Nhóm</t>
  </si>
  <si>
    <t>Check thực hiện và KH</t>
  </si>
  <si>
    <t>Budget control (Y/N)</t>
  </si>
  <si>
    <t>ĐP/BP</t>
  </si>
  <si>
    <t>BS</t>
  </si>
  <si>
    <t>Trong SubAccount, nếu cần theo dõi tập hợp chi phí xây dựng theo từng đối tượng như Kho Tân Thuận, Kho Đà Nẵng…thì sẽ thực hiện thế nào?</t>
  </si>
  <si>
    <t>Tủ đông</t>
  </si>
  <si>
    <t>Chi phí lương KPI</t>
  </si>
  <si>
    <t>BP</t>
  </si>
  <si>
    <t>Chi phí lương hiệu quả kinh doanh</t>
  </si>
  <si>
    <t>Chi phí bảo hiểm xã hội</t>
  </si>
  <si>
    <t>Chi phí bảo hiểm y tế</t>
  </si>
  <si>
    <t>Chi phí bảo hiểm thất nghiệp</t>
  </si>
  <si>
    <t>Chi phí bảo hiểm con người</t>
  </si>
  <si>
    <t>Chi phí công đoàn</t>
  </si>
  <si>
    <t>Chi phí đồng phục</t>
  </si>
  <si>
    <t>Chi phí khám sức khỏe</t>
  </si>
  <si>
    <t>Chi phí nhân sự khác</t>
  </si>
  <si>
    <t>Chi phí decal, bao bì, trang trí, in ấn…phục vụ bán hàng</t>
  </si>
  <si>
    <t>Chi phí tem nhãn</t>
  </si>
  <si>
    <t>Aron tư vấn nên là BP hay ĐP</t>
  </si>
  <si>
    <t>Chi phí bao bì, vật tư khác</t>
  </si>
  <si>
    <t>Chi phí công cụ, dụng cụ, đồ dùng</t>
  </si>
  <si>
    <t>Chi phí phân bổ tủ đông</t>
  </si>
  <si>
    <t>Chi phí vật dụng xe tải</t>
  </si>
  <si>
    <t>Chi phí thiết bị, dụng cụ, đồ dùng văn phòng</t>
  </si>
  <si>
    <t>Chi phí sửa chữa, bảo trì thiết bị văn phòng</t>
  </si>
  <si>
    <t>Chi phí dụng cụ, đồ dùng văn phòng khác</t>
  </si>
  <si>
    <t>Khấu hao/TSCĐHH khác</t>
  </si>
  <si>
    <t>Thuế GTGT phân bổ không được khấu trừ</t>
  </si>
  <si>
    <t>Chi phí hỗ trợ bán hàng</t>
  </si>
  <si>
    <t>Chi phí hỗ trợ bán hàng theo trading term</t>
  </si>
  <si>
    <t>Chi phí hỗ trợ bán hàng ngoài trading term</t>
  </si>
  <si>
    <t>Chi phí khuyến mãi, chào hàng, chào mẫu</t>
  </si>
  <si>
    <t>Chi phí mở mã sản phẩm</t>
  </si>
  <si>
    <t>Chi phí hỗ trợ, đổi trả hàng hư hỏng</t>
  </si>
  <si>
    <t>Chi phí Marketing (Quảng cáo, tiếp thị, tổ chức sự kiện ...)</t>
  </si>
  <si>
    <t>Chi phí hỗ trợ bán hàng khác</t>
  </si>
  <si>
    <t>Chi phí vận chuyển</t>
  </si>
  <si>
    <t>Chi phí giao hàng quốc tế</t>
  </si>
  <si>
    <t>Chi phí giao hàng nội địa - thuê ngoài</t>
  </si>
  <si>
    <t>Chi phí giao hàng nội địa - Xe công ty</t>
  </si>
  <si>
    <t>Chi phí trung chuyển nội địa - thuê ngoài</t>
  </si>
  <si>
    <t>Chi phí trung chuyển nội địa - Xe công ty</t>
  </si>
  <si>
    <t>Chi phí giao hàng khác</t>
  </si>
  <si>
    <t>Dùng để theo dõi các khoản chi phí không có chứng từ hợp lệ nhưng sử dụng hóa đơn vận chuyển để thay thế</t>
  </si>
  <si>
    <t>Chi phí vận chuyển khác</t>
  </si>
  <si>
    <t>Vd: NCC gửi hàng mẫu nhưng ĐT chịu chi phí, hàng mẫu không nhập kho</t>
  </si>
  <si>
    <t>Chi phí thuê kho</t>
  </si>
  <si>
    <t>Chi phí thuê mặt bằng làm kho</t>
  </si>
  <si>
    <t>Chi phí thuê kho lưu trữ hàng hóa</t>
  </si>
  <si>
    <t>Aron tư vấn</t>
  </si>
  <si>
    <t>Chi phí thuê kho khác</t>
  </si>
  <si>
    <t>Chi phí vệ sinh</t>
  </si>
  <si>
    <t>Mới bổ sung</t>
  </si>
  <si>
    <t>Chi phí chuyển phát nhanh</t>
  </si>
  <si>
    <t>Chi phí thuê mặt bằng, văn phòng làm việc, bãi xe</t>
  </si>
  <si>
    <t>Chi phí xe đưa đón</t>
  </si>
  <si>
    <t>Các chi phí liên quan đến xe của công ty (xăng, cước đường bộ..)</t>
  </si>
  <si>
    <t>Chi phí taxi</t>
  </si>
  <si>
    <t>Chi phí bảo trì bảo dưỡng xe</t>
  </si>
  <si>
    <t>Chi phí bảo trì, sửa chữa kho</t>
  </si>
  <si>
    <t>Chi phí bảo trì, sửa chữa tủ đông</t>
  </si>
  <si>
    <t>Chi phí bảo trì, sửa chữa phần mềm</t>
  </si>
  <si>
    <t>Chi phí sửa chữa thường xuyên</t>
  </si>
  <si>
    <t>Chi phí sửa chữa lớn TSCĐ khác</t>
  </si>
  <si>
    <t>Chi phí viễn thông</t>
  </si>
  <si>
    <t>Chi phí bảo hiểm tài sản cháy nổ</t>
  </si>
  <si>
    <t>Bao gồm tài sản cố định và hàng hóa trong kho</t>
  </si>
  <si>
    <t>Chi phí bảo hiểm xe</t>
  </si>
  <si>
    <t>Chi phí dịch vụ pháp lý</t>
  </si>
  <si>
    <t>Chi phí dịch vụ kinh tế (kiểm toán, tư vấn..)</t>
  </si>
  <si>
    <t>Chi phí thương hiệu, nhãn hiệu</t>
  </si>
  <si>
    <t>Chi phí nghiên cứu thị trường</t>
  </si>
  <si>
    <t>Chi phí ngân hàng</t>
  </si>
  <si>
    <t>Chi phí dịch vụ mua ngoài khác</t>
  </si>
  <si>
    <t>Chi phí công tác nước ngoài</t>
  </si>
  <si>
    <t>Chi phí công tác trong nước</t>
  </si>
  <si>
    <t>Lấy chứng từ tiếp khách thay thế</t>
  </si>
  <si>
    <t>Chi phí trích lập dự phòng nợ phải thu khó đòi</t>
  </si>
  <si>
    <t>Chi phí hoạt động tài chính</t>
  </si>
  <si>
    <t>Chi phí lãi vay Cá nhân</t>
  </si>
  <si>
    <t>Có cần tách không?</t>
  </si>
  <si>
    <t>Chi phí lãi vay Tổ chức tín dụng</t>
  </si>
  <si>
    <t>Chiết khấu thanh toán cho khách hàng</t>
  </si>
  <si>
    <t>Chi phí trích lập dự phòng giảm giá chứng khoán</t>
  </si>
  <si>
    <t>Chi phí trích lập dự phòng tổn thất đầu tư vào các đơn vị khác</t>
  </si>
  <si>
    <t>Lỗ tỷ giá hối đoái</t>
  </si>
  <si>
    <t>Lỗ từ hoạt động chuyển nhượng vốn</t>
  </si>
  <si>
    <t>Lỗ chuyển nhượng chứng khoán</t>
  </si>
  <si>
    <t>Chi phí giao dịch bán chứng khoán</t>
  </si>
  <si>
    <t>Chi phí hoạt động tài chính khác</t>
  </si>
  <si>
    <t>Lãi tiền gửi ngân hàng</t>
  </si>
  <si>
    <t>Lãi cho Cá nhân vay</t>
  </si>
  <si>
    <t>Lãi cho Công ty vay</t>
  </si>
  <si>
    <t>Lãi trả chậm, trả góp</t>
  </si>
  <si>
    <t>Chiết khấu thanh toán được hưởng từ NCC</t>
  </si>
  <si>
    <t>Thu nhập về hoạt động đầu tư mua, bán chứng khoán</t>
  </si>
  <si>
    <t>Lãi từ hoạt động chuyển nhượng vốn</t>
  </si>
  <si>
    <t>Thu nhập về các hoạt động đầu tư khác</t>
  </si>
  <si>
    <t>Lãi tỷ giá hối đoái</t>
  </si>
  <si>
    <t>Doanh thu hoạt động tài chính khác</t>
  </si>
  <si>
    <t>Thu nhập từ nhượng bán, thanh lý TSCĐ</t>
  </si>
  <si>
    <t>Thu tiền được phạt do đối tác vi phạm hợp đồng</t>
  </si>
  <si>
    <t>Chi phí thanh lý, nhượng bán TSCĐ</t>
  </si>
  <si>
    <t>Giá trị còn lại của TSCĐ thanh lý, nhượng bán TSCĐ</t>
  </si>
  <si>
    <t>Tiền phạt phải trả do vi phạm hợp đồng kinh tế, phạt hành chính</t>
  </si>
  <si>
    <t>Tiền truy thu, phạt thuế</t>
  </si>
  <si>
    <t>Chi phí không hợp lệ</t>
  </si>
  <si>
    <t>TM-NHA TRANG</t>
  </si>
  <si>
    <t>TM-ĐẮC LẮC</t>
  </si>
  <si>
    <t>TM-ĐÀ NẴNG</t>
  </si>
  <si>
    <t>TM-HÀ NỘI</t>
  </si>
  <si>
    <t>TM-CẦN THƠ</t>
  </si>
  <si>
    <t>xx.xxx</t>
  </si>
  <si>
    <t>xxx.xx.xx</t>
  </si>
  <si>
    <t>xx.xx</t>
  </si>
  <si>
    <t>x.xx.xx</t>
  </si>
  <si>
    <t>Chi phí trả trước</t>
  </si>
  <si>
    <t>Trung gian phải trả</t>
  </si>
  <si>
    <t>60</t>
  </si>
  <si>
    <t>Phải trả người lao động khác</t>
  </si>
  <si>
    <t>Chi phí phải trả khác</t>
  </si>
  <si>
    <t>Trung gian các khoản vay</t>
  </si>
  <si>
    <t>Vốn góp của chủ sở hữu</t>
  </si>
  <si>
    <t>Trung gian xây dựng cơ bản dở dang</t>
  </si>
  <si>
    <t>Trung gian chi phí phân bổ</t>
  </si>
  <si>
    <t>Giá vốn hàng bán - hàng hóa</t>
  </si>
  <si>
    <t>Giá vốn hàng bán - dịch vụ</t>
  </si>
  <si>
    <t>Giá vốn hàng bán - khác</t>
  </si>
  <si>
    <t>Chi phí quản lý doanh nghiệp</t>
  </si>
  <si>
    <t>BS121</t>
  </si>
  <si>
    <t>BS133</t>
  </si>
  <si>
    <t>BS141</t>
  </si>
  <si>
    <t>BS251</t>
  </si>
  <si>
    <t>BS252</t>
  </si>
  <si>
    <t>BS254</t>
  </si>
  <si>
    <t>BS242</t>
  </si>
  <si>
    <t>BS262</t>
  </si>
  <si>
    <t>BS153</t>
  </si>
  <si>
    <t>BS313</t>
  </si>
  <si>
    <t>BS314</t>
  </si>
  <si>
    <t>BS315</t>
  </si>
  <si>
    <t>BS316</t>
  </si>
  <si>
    <t>BS317</t>
  </si>
  <si>
    <t>BS341</t>
  </si>
  <si>
    <t>BS322</t>
  </si>
  <si>
    <t>BS343</t>
  </si>
  <si>
    <t>BS323</t>
  </si>
  <si>
    <t>BS416</t>
  </si>
  <si>
    <t>BS417</t>
  </si>
  <si>
    <t>BS419</t>
  </si>
  <si>
    <t>BS418</t>
  </si>
  <si>
    <t>BS415</t>
  </si>
  <si>
    <t>BS422</t>
  </si>
  <si>
    <t>BS112</t>
  </si>
  <si>
    <t>Trung gian khoản phải thu</t>
  </si>
  <si>
    <t>Trung gian tiền đang chuyển</t>
  </si>
  <si>
    <t>Cash clearing</t>
  </si>
  <si>
    <t>BS312</t>
  </si>
  <si>
    <t>BS139</t>
  </si>
  <si>
    <t>BS136</t>
  </si>
  <si>
    <t>BS222</t>
  </si>
  <si>
    <t>BS228</t>
  </si>
  <si>
    <t>BS223</t>
  </si>
  <si>
    <t>BS229</t>
  </si>
  <si>
    <t>BS231</t>
  </si>
  <si>
    <t>BS253</t>
  </si>
  <si>
    <t>BS151</t>
  </si>
  <si>
    <t>BS216</t>
  </si>
  <si>
    <t>BS311</t>
  </si>
  <si>
    <t>BS132</t>
  </si>
  <si>
    <t>BS134</t>
  </si>
  <si>
    <t>BS319</t>
  </si>
  <si>
    <t>BS318</t>
  </si>
  <si>
    <t>BS320</t>
  </si>
  <si>
    <t>BS338</t>
  </si>
  <si>
    <t>BS337</t>
  </si>
  <si>
    <t>BS321</t>
  </si>
  <si>
    <t>BS411a</t>
  </si>
  <si>
    <t>BS421a</t>
  </si>
  <si>
    <t>BS411b</t>
  </si>
  <si>
    <t>BS412</t>
  </si>
  <si>
    <t>BS413</t>
  </si>
  <si>
    <t>BS414</t>
  </si>
  <si>
    <t>BS421b</t>
  </si>
  <si>
    <t>Kho</t>
  </si>
  <si>
    <t>NGÂN HÀNG</t>
  </si>
  <si>
    <t>PL1</t>
  </si>
  <si>
    <t>Phần mềm</t>
  </si>
  <si>
    <t>DANH MỤC BỘ PHẬN QUẢN LÝ</t>
  </si>
  <si>
    <t>Bộ phận Ban Điều hành</t>
  </si>
  <si>
    <t>Bộ phận Kinh doanh</t>
  </si>
  <si>
    <t>Bộ phận Logistic - Quản lý</t>
  </si>
  <si>
    <t>Bộ phận Logistic - Kho</t>
  </si>
  <si>
    <t>Bộ phận Logistic - Giao nhận</t>
  </si>
  <si>
    <t>Hiện nay đang theo dõi chi tiết theo từng xe tải</t>
  </si>
  <si>
    <t>Bộ phận Marketing</t>
  </si>
  <si>
    <t>Bộ phận Trade Marketing</t>
  </si>
  <si>
    <t>Bộ phận Tài chính - Kế toán</t>
  </si>
  <si>
    <t>Bộ phận Hành chính - Nhân sự</t>
  </si>
  <si>
    <t>Bộ phận Kế hoạch</t>
  </si>
  <si>
    <t>Bộ phận Xuất nhập khẩu</t>
  </si>
  <si>
    <t>Bộ phận Sourcing</t>
  </si>
  <si>
    <t>Bộ phận Mua hàng</t>
  </si>
  <si>
    <t>Bộ phận Công nghệ thông tin</t>
  </si>
  <si>
    <t>Bộ phận Nghiên cứu phát triển</t>
  </si>
  <si>
    <t>Bộ phận Bảo trì - Kỹ thuật - Cơ điện</t>
  </si>
  <si>
    <t>Bộ phận QA-QC-ATTP-LAB</t>
  </si>
  <si>
    <t>Bộ phận chung</t>
  </si>
  <si>
    <t>Tên bộ phận hiện tại</t>
  </si>
  <si>
    <t>Bộ phận Kinh doanh Trực tiếp</t>
  </si>
  <si>
    <t>Bộ phận Kinh doanh Gián tiếp</t>
  </si>
  <si>
    <t>Bộ phận Sourcing - Mua hàng</t>
  </si>
  <si>
    <t>Logistic - Quản lý</t>
  </si>
  <si>
    <t>Logistic - Kho</t>
  </si>
  <si>
    <t>Logistic - Giao nhận</t>
  </si>
  <si>
    <t>Tên site</t>
  </si>
  <si>
    <t>Cần Thơ</t>
  </si>
  <si>
    <t>Ký hiệu</t>
  </si>
  <si>
    <t>NTR</t>
  </si>
  <si>
    <t>DLA</t>
  </si>
  <si>
    <t>DNG</t>
  </si>
  <si>
    <t>HNO</t>
  </si>
  <si>
    <t>CTH</t>
  </si>
  <si>
    <t>Ký hiệu site</t>
  </si>
  <si>
    <t>Mã Khối</t>
  </si>
  <si>
    <t>Tên Khối</t>
  </si>
  <si>
    <t>Khối Trực tiếp</t>
  </si>
  <si>
    <t>Mã Khối.Mã Bộ phận.Mã Site</t>
  </si>
  <si>
    <t>Segment 4: x.xx.xx (Cost Center)</t>
  </si>
  <si>
    <t>Khối trực tiếp</t>
  </si>
  <si>
    <t>Khối gián tiếp</t>
  </si>
  <si>
    <t>Khối Trực Tiếp</t>
  </si>
  <si>
    <t>Khối Gián tiếp</t>
  </si>
  <si>
    <t>Tên Khối/ Bộ phận/ Site</t>
  </si>
  <si>
    <t>Khối Gián Tiếp</t>
  </si>
  <si>
    <t>Biến phí, Định phí có thể Group theo Nhóm chi phí không, để đưa vào PL theo Group chi phí</t>
  </si>
  <si>
    <t>000000</t>
  </si>
  <si>
    <t>Phương tiện vận tải</t>
  </si>
  <si>
    <t>Chi phí đầu tư tài chính</t>
  </si>
  <si>
    <t>Chi phí lập dự phòng đầu tư tài chính</t>
  </si>
  <si>
    <t>Lỗ từ hoạt động đầu tư tài chính</t>
  </si>
  <si>
    <t>Chi phí hoạt động khác</t>
  </si>
  <si>
    <t>Thu nhập từ các khoản nhận hỗ trợ</t>
  </si>
  <si>
    <t>Lập Phiếu yêu cầu, sau khi được duyệt sẽ tạo SO (type đổi hàng)</t>
  </si>
  <si>
    <t>Lập Phiếu yêu cầu, sau khi được duyệt sẽ tạo SO (type khuyến mãi/chào hàng/chào mẫu...)</t>
  </si>
  <si>
    <t>Check Ngân sách: YTD-QTD</t>
  </si>
  <si>
    <t>Updated 01/10/24</t>
  </si>
  <si>
    <t>Mã Cost center</t>
  </si>
  <si>
    <t>Tên Cost center</t>
  </si>
  <si>
    <t>Lập PR (Y/N)</t>
  </si>
  <si>
    <t>All</t>
  </si>
  <si>
    <t>SITE</t>
  </si>
  <si>
    <t>xx.xx.xx</t>
  </si>
  <si>
    <t>Tên kỳ</t>
  </si>
  <si>
    <t>01-2024</t>
  </si>
  <si>
    <t>Thu nhập từ các khoản tiền incentive của Nhà cung cấp</t>
  </si>
  <si>
    <t>Thu nhập từ các khoản hoa hồng, chiết khấu</t>
  </si>
  <si>
    <t>Thu nhập từ các khoản hỗ trợ khác</t>
  </si>
  <si>
    <t>Trung gian xây dựng cơ bản dở dang - tủ đông</t>
  </si>
  <si>
    <t>New</t>
  </si>
  <si>
    <t>x.xx</t>
  </si>
  <si>
    <t>ZZZZZ</t>
  </si>
  <si>
    <t>ZZZ</t>
  </si>
  <si>
    <t>ZZZZZZ</t>
  </si>
  <si>
    <t>ZZZZ</t>
  </si>
  <si>
    <t>ZZ</t>
  </si>
  <si>
    <t>4131101</t>
  </si>
  <si>
    <t>COA_LEGAL_ENITY</t>
  </si>
  <si>
    <t>COA_ACCOUNT</t>
  </si>
  <si>
    <t>COA_SUB_ACCOUNT</t>
  </si>
  <si>
    <t>COA_COST_CENTER</t>
  </si>
  <si>
    <t>COA_BUSINESSLINE</t>
  </si>
  <si>
    <t>COA_BRAND</t>
  </si>
  <si>
    <t>COA_CHANNEL</t>
  </si>
  <si>
    <t>COA_INTER_CO</t>
  </si>
  <si>
    <t>COA_SITE</t>
  </si>
  <si>
    <t>COA_RESERVE</t>
  </si>
  <si>
    <t>LEGAL_ENITY</t>
  </si>
  <si>
    <t>Phải trả nhà cung cấp-cấn trừ</t>
  </si>
  <si>
    <t>Mua sắm TSCĐ-tủ đông</t>
  </si>
  <si>
    <t>Updated 09/10/24</t>
  </si>
  <si>
    <t>Chi phí trả trước-tủ đông</t>
  </si>
  <si>
    <t>Chi phí trả trước-tủ đông (Cost)</t>
  </si>
  <si>
    <t>Chi phí trả trước-tủ đông (Lũy kế phân bổ)</t>
  </si>
  <si>
    <t>Chi phí hủy hàng</t>
  </si>
  <si>
    <t>Updated 16/10/2024</t>
  </si>
  <si>
    <t>Chi phí hao hụt, mất mát hàng hóa</t>
  </si>
  <si>
    <t>All (except BP Ban điều hành)</t>
  </si>
  <si>
    <t>07</t>
  </si>
  <si>
    <t>Trích trước chi phí lương tháng 13</t>
  </si>
  <si>
    <t>Update 19/10/2024</t>
  </si>
  <si>
    <t>Phải trả, phải nộp khác_Thuế TNCN</t>
  </si>
  <si>
    <t>Update 19/10/2021</t>
  </si>
  <si>
    <t>RESERVE</t>
  </si>
  <si>
    <t>Site</t>
  </si>
  <si>
    <t>Trung gian đổi trả hàng</t>
  </si>
  <si>
    <t>Update 01/11/2024</t>
  </si>
  <si>
    <t>PartnerCompany</t>
  </si>
  <si>
    <t>Receivable intercompany (PartnerCompany-DTC)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</si>
</sst>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(* #,##0_);_(* \(#,##0\);_(* &quot;-&quot;??_);_(@_)"/>
  </numFmts>
  <fonts count="50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1"/>
      <color rgb="FFFF0000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548DD4"/>
      <name val="Times New Roman"/>
      <family val="1"/>
    </font>
    <font>
      <b/>
      <u/>
      <sz val="11"/>
      <color theme="1"/>
      <name val="Times New Roman"/>
      <family val="1"/>
    </font>
    <font>
      <sz val="11"/>
      <name val="Arial"/>
      <family val="2"/>
    </font>
    <font>
      <i/>
      <u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5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name val="Arial"/>
      <family val="2"/>
      <scheme val="minor"/>
    </font>
    <font>
      <b/>
      <sz val="11"/>
      <color theme="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sz val="11"/>
      <color theme="1"/>
      <name val="Arial"/>
      <family val="2"/>
      <scheme val="minor"/>
    </font>
    <font>
      <b/>
      <sz val="10"/>
      <name val="Times New Roman"/>
      <family val="1"/>
    </font>
    <font>
      <sz val="11"/>
      <name val="Calibri"/>
      <family val="2"/>
    </font>
    <font>
      <i/>
      <sz val="10"/>
      <name val="Times New Roman"/>
      <family val="1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  <charset val="163"/>
      <scheme val="minor"/>
    </font>
    <font>
      <sz val="10"/>
      <name val="Times New Roman"/>
      <family val="1"/>
      <charset val="163"/>
    </font>
    <font>
      <sz val="11"/>
      <name val="Calibri"/>
      <family val="2"/>
      <charset val="163"/>
    </font>
    <font>
      <b/>
      <sz val="10"/>
      <name val="Times New Roman"/>
      <family val="1"/>
      <charset val="163"/>
    </font>
    <font>
      <i/>
      <sz val="10"/>
      <color theme="1"/>
      <name val="Times New Roman"/>
      <family val="1"/>
    </font>
    <font>
      <i/>
      <sz val="10"/>
      <color rgb="FFFF0000"/>
      <name val="Times New Roman"/>
      <family val="1"/>
    </font>
    <font>
      <b/>
      <i/>
      <sz val="11"/>
      <name val="Arial"/>
      <family val="2"/>
      <charset val="163"/>
      <scheme val="minor"/>
    </font>
    <font>
      <b/>
      <i/>
      <sz val="10"/>
      <name val="Times New Roman"/>
      <family val="1"/>
      <charset val="163"/>
    </font>
    <font>
      <i/>
      <sz val="10"/>
      <name val="Times New Roman"/>
      <family val="1"/>
      <charset val="163"/>
    </font>
    <font>
      <i/>
      <sz val="11"/>
      <name val="Calibri"/>
      <family val="2"/>
      <charset val="163"/>
    </font>
    <font>
      <b/>
      <i/>
      <sz val="11"/>
      <name val="Calibri"/>
      <family val="2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0"/>
      <color theme="1"/>
      <name val="Arial"/>
      <family val="2"/>
      <charset val="163"/>
      <scheme val="minor"/>
    </font>
    <font>
      <sz val="10"/>
      <name val="Arial"/>
      <family val="2"/>
      <charset val="163"/>
      <scheme val="minor"/>
    </font>
    <font>
      <sz val="10"/>
      <color theme="1"/>
      <name val="Tahoma"/>
      <family val="2"/>
      <charset val="163"/>
    </font>
    <font>
      <sz val="11"/>
      <color rgb="FF000000"/>
      <name val="Calibri"/>
      <family val="2"/>
      <charset val="204"/>
    </font>
    <font>
      <sz val="10"/>
      <color rgb="FFFF0000"/>
      <name val="Times New Roman"/>
      <family val="1"/>
      <charset val="163"/>
    </font>
  </fonts>
  <fills count="1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21" fillId="0" borderId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0" fontId="2" fillId="0" borderId="0"/>
    <xf numFmtId="0" fontId="48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34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/>
    <xf numFmtId="0" fontId="3" fillId="0" borderId="4" xfId="0" applyFont="1" applyBorder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49" fontId="4" fillId="4" borderId="4" xfId="0" applyNumberFormat="1" applyFont="1" applyFill="1" applyBorder="1"/>
    <xf numFmtId="0" fontId="4" fillId="4" borderId="4" xfId="0" applyFont="1" applyFill="1" applyBorder="1"/>
    <xf numFmtId="0" fontId="4" fillId="4" borderId="4" xfId="0" applyFont="1" applyFill="1" applyBorder="1" applyAlignment="1">
      <alignment horizontal="right"/>
    </xf>
    <xf numFmtId="49" fontId="3" fillId="0" borderId="4" xfId="0" applyNumberFormat="1" applyFont="1" applyBorder="1"/>
    <xf numFmtId="49" fontId="4" fillId="4" borderId="4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9" fillId="0" borderId="4" xfId="0" applyFont="1" applyBorder="1"/>
    <xf numFmtId="49" fontId="3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6" xfId="0" applyFont="1" applyBorder="1"/>
    <xf numFmtId="0" fontId="4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left" vertical="center"/>
    </xf>
    <xf numFmtId="0" fontId="3" fillId="0" borderId="8" xfId="0" quotePrefix="1" applyFont="1" applyBorder="1"/>
    <xf numFmtId="0" fontId="3" fillId="0" borderId="9" xfId="0" quotePrefix="1" applyFont="1" applyBorder="1"/>
    <xf numFmtId="0" fontId="3" fillId="0" borderId="10" xfId="0" quotePrefix="1" applyFont="1" applyBorder="1"/>
    <xf numFmtId="49" fontId="4" fillId="4" borderId="4" xfId="0" quotePrefix="1" applyNumberFormat="1" applyFont="1" applyFill="1" applyBorder="1" applyAlignment="1">
      <alignment horizontal="left"/>
    </xf>
    <xf numFmtId="0" fontId="3" fillId="0" borderId="4" xfId="0" quotePrefix="1" applyFont="1" applyBorder="1" applyAlignment="1">
      <alignment horizontal="left"/>
    </xf>
    <xf numFmtId="0" fontId="3" fillId="0" borderId="4" xfId="0" quotePrefix="1" applyFont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 vertical="center"/>
    </xf>
    <xf numFmtId="0" fontId="14" fillId="7" borderId="13" xfId="1" applyFont="1" applyFill="1" applyBorder="1" applyAlignment="1">
      <alignment horizontal="center" vertical="center" wrapText="1"/>
    </xf>
    <xf numFmtId="0" fontId="14" fillId="7" borderId="13" xfId="1" applyFont="1" applyFill="1" applyBorder="1" applyAlignment="1">
      <alignment horizontal="center" vertical="center"/>
    </xf>
    <xf numFmtId="0" fontId="15" fillId="0" borderId="0" xfId="0" applyFont="1"/>
    <xf numFmtId="0" fontId="4" fillId="0" borderId="13" xfId="0" applyFont="1" applyBorder="1"/>
    <xf numFmtId="0" fontId="16" fillId="8" borderId="13" xfId="1" applyFont="1" applyFill="1" applyBorder="1" applyAlignment="1">
      <alignment horizontal="center" vertical="center" wrapText="1"/>
    </xf>
    <xf numFmtId="0" fontId="14" fillId="8" borderId="13" xfId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wrapText="1"/>
    </xf>
    <xf numFmtId="0" fontId="3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wrapText="1"/>
    </xf>
    <xf numFmtId="0" fontId="18" fillId="0" borderId="0" xfId="0" applyFont="1"/>
    <xf numFmtId="0" fontId="6" fillId="0" borderId="0" xfId="0" applyFont="1"/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0" fontId="18" fillId="0" borderId="2" xfId="0" quotePrefix="1" applyFont="1" applyBorder="1"/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9" fillId="0" borderId="0" xfId="0" applyFont="1"/>
    <xf numFmtId="0" fontId="20" fillId="9" borderId="2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4" fillId="10" borderId="13" xfId="2" applyFont="1" applyFill="1" applyBorder="1" applyAlignment="1" applyProtection="1">
      <alignment horizontal="left" indent="2"/>
      <protection locked="0" hidden="1"/>
    </xf>
    <xf numFmtId="0" fontId="14" fillId="10" borderId="13" xfId="2" applyFont="1" applyFill="1" applyBorder="1" applyProtection="1">
      <protection locked="0" hidden="1"/>
    </xf>
    <xf numFmtId="0" fontId="14" fillId="10" borderId="13" xfId="2" applyFont="1" applyFill="1" applyBorder="1" applyAlignment="1" applyProtection="1">
      <alignment horizontal="center"/>
      <protection locked="0" hidden="1"/>
    </xf>
    <xf numFmtId="0" fontId="3" fillId="11" borderId="13" xfId="0" applyFont="1" applyFill="1" applyBorder="1" applyAlignment="1">
      <alignment horizontal="right"/>
    </xf>
    <xf numFmtId="0" fontId="3" fillId="11" borderId="13" xfId="0" applyFont="1" applyFill="1" applyBorder="1"/>
    <xf numFmtId="0" fontId="16" fillId="11" borderId="13" xfId="0" applyFont="1" applyFill="1" applyBorder="1" applyAlignment="1">
      <alignment horizontal="center"/>
    </xf>
    <xf numFmtId="0" fontId="16" fillId="0" borderId="0" xfId="0" applyFont="1"/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6" fillId="0" borderId="4" xfId="0" applyFont="1" applyBorder="1"/>
    <xf numFmtId="0" fontId="16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4" fillId="12" borderId="4" xfId="0" applyFont="1" applyFill="1" applyBorder="1" applyAlignment="1">
      <alignment horizontal="left"/>
    </xf>
    <xf numFmtId="0" fontId="4" fillId="12" borderId="4" xfId="0" applyFont="1" applyFill="1" applyBorder="1" applyAlignment="1">
      <alignment horizontal="center"/>
    </xf>
    <xf numFmtId="0" fontId="14" fillId="12" borderId="0" xfId="0" applyFont="1" applyFill="1"/>
    <xf numFmtId="0" fontId="8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4" fillId="12" borderId="17" xfId="0" applyFont="1" applyFill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4" fillId="0" borderId="13" xfId="0" applyFont="1" applyBorder="1"/>
    <xf numFmtId="0" fontId="4" fillId="0" borderId="13" xfId="0" applyFont="1" applyBorder="1" applyAlignment="1">
      <alignment horizontal="center"/>
    </xf>
    <xf numFmtId="0" fontId="16" fillId="0" borderId="13" xfId="0" applyFont="1" applyBorder="1"/>
    <xf numFmtId="0" fontId="16" fillId="0" borderId="13" xfId="0" applyFont="1" applyBorder="1" applyAlignment="1">
      <alignment horizontal="left"/>
    </xf>
    <xf numFmtId="0" fontId="14" fillId="12" borderId="13" xfId="0" applyFont="1" applyFill="1" applyBorder="1" applyAlignment="1">
      <alignment horizontal="left"/>
    </xf>
    <xf numFmtId="0" fontId="4" fillId="12" borderId="13" xfId="0" applyFont="1" applyFill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6" fillId="0" borderId="1" xfId="0" applyFont="1" applyBorder="1"/>
    <xf numFmtId="0" fontId="4" fillId="12" borderId="2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14" fillId="13" borderId="13" xfId="0" applyFont="1" applyFill="1" applyBorder="1"/>
    <xf numFmtId="0" fontId="4" fillId="13" borderId="13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 wrapText="1"/>
    </xf>
    <xf numFmtId="0" fontId="18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3" fillId="0" borderId="0" xfId="0" applyFont="1"/>
    <xf numFmtId="0" fontId="17" fillId="0" borderId="0" xfId="0" applyFont="1"/>
    <xf numFmtId="0" fontId="24" fillId="0" borderId="0" xfId="0" applyFont="1"/>
    <xf numFmtId="0" fontId="18" fillId="0" borderId="0" xfId="0" applyFont="1" applyAlignment="1">
      <alignment horizontal="left"/>
    </xf>
    <xf numFmtId="0" fontId="18" fillId="0" borderId="13" xfId="0" applyFont="1" applyBorder="1" applyAlignment="1">
      <alignment horizontal="left"/>
    </xf>
    <xf numFmtId="0" fontId="17" fillId="0" borderId="13" xfId="0" applyFont="1" applyBorder="1" applyAlignment="1">
      <alignment horizontal="left"/>
    </xf>
    <xf numFmtId="0" fontId="17" fillId="0" borderId="13" xfId="0" applyFont="1" applyBorder="1"/>
    <xf numFmtId="0" fontId="18" fillId="0" borderId="13" xfId="0" applyFont="1" applyBorder="1" applyAlignment="1">
      <alignment horizontal="center"/>
    </xf>
    <xf numFmtId="0" fontId="18" fillId="0" borderId="13" xfId="0" applyFont="1" applyBorder="1"/>
    <xf numFmtId="0" fontId="18" fillId="0" borderId="13" xfId="0" applyFont="1" applyBorder="1" applyAlignment="1">
      <alignment horizontal="center" wrapText="1"/>
    </xf>
    <xf numFmtId="0" fontId="17" fillId="0" borderId="13" xfId="0" quotePrefix="1" applyFont="1" applyBorder="1"/>
    <xf numFmtId="0" fontId="18" fillId="0" borderId="13" xfId="0" applyFont="1" applyBorder="1" applyAlignment="1">
      <alignment horizontal="left" wrapText="1"/>
    </xf>
    <xf numFmtId="0" fontId="18" fillId="0" borderId="13" xfId="0" quotePrefix="1" applyFont="1" applyBorder="1" applyAlignment="1">
      <alignment horizontal="left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2" xfId="0" quotePrefix="1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8" fillId="0" borderId="11" xfId="0" applyFont="1" applyBorder="1" applyAlignment="1">
      <alignment horizontal="left" vertical="center" wrapText="1"/>
    </xf>
    <xf numFmtId="0" fontId="18" fillId="0" borderId="11" xfId="0" applyFont="1" applyBorder="1"/>
    <xf numFmtId="0" fontId="3" fillId="0" borderId="14" xfId="0" applyFont="1" applyBorder="1"/>
    <xf numFmtId="0" fontId="4" fillId="15" borderId="0" xfId="0" applyFont="1" applyFill="1"/>
    <xf numFmtId="165" fontId="4" fillId="15" borderId="0" xfId="3" applyNumberFormat="1" applyFont="1" applyFill="1"/>
    <xf numFmtId="165" fontId="4" fillId="0" borderId="0" xfId="3" applyNumberFormat="1" applyFont="1" applyBorder="1"/>
    <xf numFmtId="0" fontId="3" fillId="11" borderId="0" xfId="0" applyFont="1" applyFill="1"/>
    <xf numFmtId="0" fontId="3" fillId="11" borderId="0" xfId="0" quotePrefix="1" applyFont="1" applyFill="1"/>
    <xf numFmtId="0" fontId="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7" fillId="0" borderId="1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5" fillId="0" borderId="3" xfId="0" applyFont="1" applyBorder="1"/>
    <xf numFmtId="0" fontId="28" fillId="0" borderId="3" xfId="0" applyFont="1" applyBorder="1"/>
    <xf numFmtId="0" fontId="17" fillId="0" borderId="0" xfId="0" applyFont="1" applyAlignment="1">
      <alignment horizontal="left"/>
    </xf>
    <xf numFmtId="0" fontId="25" fillId="0" borderId="2" xfId="0" applyFont="1" applyBorder="1"/>
    <xf numFmtId="0" fontId="25" fillId="0" borderId="3" xfId="0" applyFont="1" applyBorder="1" applyAlignment="1">
      <alignment vertical="center" wrapText="1"/>
    </xf>
    <xf numFmtId="0" fontId="28" fillId="0" borderId="2" xfId="0" applyFont="1" applyBorder="1"/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5" fillId="0" borderId="11" xfId="0" applyFont="1" applyBorder="1"/>
    <xf numFmtId="0" fontId="25" fillId="0" borderId="16" xfId="0" applyFont="1" applyBorder="1" applyAlignment="1">
      <alignment vertical="center" wrapText="1"/>
    </xf>
    <xf numFmtId="0" fontId="25" fillId="0" borderId="16" xfId="0" applyFont="1" applyBorder="1" applyAlignment="1">
      <alignment horizontal="left"/>
    </xf>
    <xf numFmtId="0" fontId="25" fillId="0" borderId="16" xfId="0" quotePrefix="1" applyFont="1" applyBorder="1"/>
    <xf numFmtId="0" fontId="18" fillId="0" borderId="16" xfId="0" applyFont="1" applyBorder="1" applyAlignment="1">
      <alignment horizontal="left"/>
    </xf>
    <xf numFmtId="0" fontId="25" fillId="0" borderId="16" xfId="0" applyFont="1" applyBorder="1" applyAlignment="1">
      <alignment horizontal="center"/>
    </xf>
    <xf numFmtId="0" fontId="27" fillId="12" borderId="1" xfId="0" applyFont="1" applyFill="1" applyBorder="1" applyAlignment="1">
      <alignment vertical="center" wrapText="1"/>
    </xf>
    <xf numFmtId="0" fontId="27" fillId="12" borderId="1" xfId="0" applyFont="1" applyFill="1" applyBorder="1" applyAlignment="1">
      <alignment horizontal="center" vertical="center" wrapText="1"/>
    </xf>
    <xf numFmtId="165" fontId="3" fillId="0" borderId="0" xfId="3" applyNumberFormat="1" applyFont="1" applyBorder="1"/>
    <xf numFmtId="0" fontId="0" fillId="0" borderId="0" xfId="0" applyAlignment="1">
      <alignment horizontal="left"/>
    </xf>
    <xf numFmtId="0" fontId="3" fillId="11" borderId="13" xfId="0" applyFont="1" applyFill="1" applyBorder="1" applyAlignment="1">
      <alignment horizontal="left"/>
    </xf>
    <xf numFmtId="0" fontId="27" fillId="0" borderId="20" xfId="0" applyFont="1" applyBorder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27" fillId="0" borderId="16" xfId="0" applyFont="1" applyBorder="1" applyAlignment="1">
      <alignment vertical="center" wrapText="1"/>
    </xf>
    <xf numFmtId="0" fontId="27" fillId="0" borderId="16" xfId="0" applyFont="1" applyBorder="1"/>
    <xf numFmtId="0" fontId="27" fillId="0" borderId="16" xfId="0" quotePrefix="1" applyFont="1" applyBorder="1"/>
    <xf numFmtId="0" fontId="27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18" fillId="0" borderId="16" xfId="0" applyFont="1" applyBorder="1"/>
    <xf numFmtId="0" fontId="19" fillId="0" borderId="16" xfId="0" applyFont="1" applyBorder="1"/>
    <xf numFmtId="0" fontId="25" fillId="0" borderId="16" xfId="0" applyFont="1" applyBorder="1"/>
    <xf numFmtId="0" fontId="27" fillId="0" borderId="16" xfId="0" applyFont="1" applyBorder="1" applyAlignment="1">
      <alignment horizontal="center"/>
    </xf>
    <xf numFmtId="0" fontId="27" fillId="0" borderId="16" xfId="0" applyFont="1" applyBorder="1" applyAlignment="1">
      <alignment horizontal="left"/>
    </xf>
    <xf numFmtId="0" fontId="30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left"/>
    </xf>
    <xf numFmtId="0" fontId="30" fillId="0" borderId="16" xfId="0" applyFont="1" applyBorder="1"/>
    <xf numFmtId="0" fontId="25" fillId="0" borderId="16" xfId="0" quotePrefix="1" applyFont="1" applyBorder="1" applyAlignment="1">
      <alignment horizontal="left"/>
    </xf>
    <xf numFmtId="0" fontId="29" fillId="0" borderId="16" xfId="0" applyFont="1" applyBorder="1" applyAlignment="1">
      <alignment horizontal="center"/>
    </xf>
    <xf numFmtId="0" fontId="18" fillId="6" borderId="16" xfId="0" applyFont="1" applyFill="1" applyBorder="1" applyAlignment="1">
      <alignment horizontal="left" vertical="center"/>
    </xf>
    <xf numFmtId="0" fontId="19" fillId="0" borderId="16" xfId="0" applyFont="1" applyBorder="1" applyAlignment="1">
      <alignment horizontal="center"/>
    </xf>
    <xf numFmtId="0" fontId="23" fillId="0" borderId="16" xfId="0" applyFont="1" applyBorder="1" applyAlignment="1">
      <alignment horizontal="left"/>
    </xf>
    <xf numFmtId="0" fontId="18" fillId="6" borderId="16" xfId="0" applyFont="1" applyFill="1" applyBorder="1" applyAlignment="1">
      <alignment vertical="center"/>
    </xf>
    <xf numFmtId="0" fontId="28" fillId="0" borderId="16" xfId="0" applyFont="1" applyBorder="1" applyAlignment="1">
      <alignment horizontal="center"/>
    </xf>
    <xf numFmtId="0" fontId="27" fillId="0" borderId="16" xfId="0" quotePrefix="1" applyFont="1" applyBorder="1" applyAlignment="1">
      <alignment horizontal="left"/>
    </xf>
    <xf numFmtId="0" fontId="17" fillId="0" borderId="16" xfId="0" applyFont="1" applyBorder="1" applyAlignment="1">
      <alignment horizontal="left" vertical="center"/>
    </xf>
    <xf numFmtId="0" fontId="17" fillId="6" borderId="16" xfId="0" applyFont="1" applyFill="1" applyBorder="1" applyAlignment="1">
      <alignment horizontal="left" vertical="center"/>
    </xf>
    <xf numFmtId="0" fontId="17" fillId="6" borderId="16" xfId="0" applyFont="1" applyFill="1" applyBorder="1" applyAlignment="1">
      <alignment vertical="center"/>
    </xf>
    <xf numFmtId="0" fontId="32" fillId="0" borderId="0" xfId="0" applyFont="1" applyAlignment="1">
      <alignment horizontal="center"/>
    </xf>
    <xf numFmtId="0" fontId="33" fillId="0" borderId="15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5" fillId="0" borderId="16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/>
    </xf>
    <xf numFmtId="0" fontId="29" fillId="0" borderId="16" xfId="0" applyFont="1" applyBorder="1" applyAlignment="1">
      <alignment vertical="center" wrapText="1"/>
    </xf>
    <xf numFmtId="0" fontId="29" fillId="0" borderId="16" xfId="0" applyFont="1" applyBorder="1"/>
    <xf numFmtId="0" fontId="29" fillId="0" borderId="16" xfId="0" quotePrefix="1" applyFont="1" applyBorder="1"/>
    <xf numFmtId="0" fontId="29" fillId="0" borderId="16" xfId="0" applyFont="1" applyBorder="1" applyAlignment="1">
      <alignment horizontal="left"/>
    </xf>
    <xf numFmtId="0" fontId="29" fillId="0" borderId="16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left"/>
    </xf>
    <xf numFmtId="0" fontId="29" fillId="0" borderId="16" xfId="0" quotePrefix="1" applyFont="1" applyBorder="1" applyAlignment="1">
      <alignment horizontal="left"/>
    </xf>
    <xf numFmtId="0" fontId="36" fillId="0" borderId="16" xfId="0" applyFont="1" applyBorder="1" applyAlignment="1">
      <alignment horizontal="left" vertical="center"/>
    </xf>
    <xf numFmtId="0" fontId="36" fillId="6" borderId="16" xfId="0" applyFont="1" applyFill="1" applyBorder="1" applyAlignment="1">
      <alignment horizontal="left" vertical="center"/>
    </xf>
    <xf numFmtId="0" fontId="37" fillId="0" borderId="16" xfId="0" applyFont="1" applyBorder="1" applyAlignment="1">
      <alignment horizontal="left"/>
    </xf>
    <xf numFmtId="0" fontId="36" fillId="6" borderId="16" xfId="0" applyFont="1" applyFill="1" applyBorder="1" applyAlignment="1">
      <alignment vertical="center"/>
    </xf>
    <xf numFmtId="0" fontId="38" fillId="0" borderId="0" xfId="0" applyFont="1" applyAlignment="1">
      <alignment horizontal="center"/>
    </xf>
    <xf numFmtId="0" fontId="39" fillId="12" borderId="1" xfId="0" applyFont="1" applyFill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37" fillId="0" borderId="16" xfId="0" applyFont="1" applyBorder="1"/>
    <xf numFmtId="0" fontId="37" fillId="6" borderId="16" xfId="0" applyFont="1" applyFill="1" applyBorder="1" applyAlignment="1">
      <alignment horizontal="left" vertical="center"/>
    </xf>
    <xf numFmtId="0" fontId="33" fillId="0" borderId="20" xfId="0" applyFont="1" applyBorder="1" applyAlignment="1">
      <alignment vertical="center" wrapText="1"/>
    </xf>
    <xf numFmtId="0" fontId="33" fillId="0" borderId="15" xfId="0" applyFont="1" applyBorder="1" applyAlignment="1">
      <alignment vertical="center" wrapText="1"/>
    </xf>
    <xf numFmtId="0" fontId="33" fillId="0" borderId="15" xfId="0" quotePrefix="1" applyFont="1" applyBorder="1" applyAlignment="1">
      <alignment vertical="center" wrapText="1"/>
    </xf>
    <xf numFmtId="0" fontId="33" fillId="0" borderId="15" xfId="0" quotePrefix="1" applyFont="1" applyBorder="1"/>
    <xf numFmtId="0" fontId="32" fillId="0" borderId="0" xfId="0" applyFont="1"/>
    <xf numFmtId="0" fontId="36" fillId="0" borderId="19" xfId="0" applyFont="1" applyBorder="1" applyAlignment="1">
      <alignment vertical="top"/>
    </xf>
    <xf numFmtId="0" fontId="18" fillId="0" borderId="19" xfId="0" applyFont="1" applyBorder="1" applyAlignment="1">
      <alignment vertical="top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/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vertical="top"/>
    </xf>
    <xf numFmtId="0" fontId="23" fillId="0" borderId="16" xfId="0" applyFont="1" applyBorder="1" applyAlignment="1">
      <alignment vertical="center" wrapText="1"/>
    </xf>
    <xf numFmtId="0" fontId="23" fillId="0" borderId="16" xfId="0" applyFont="1" applyBorder="1"/>
    <xf numFmtId="0" fontId="23" fillId="0" borderId="16" xfId="0" quotePrefix="1" applyFont="1" applyBorder="1"/>
    <xf numFmtId="0" fontId="43" fillId="0" borderId="19" xfId="0" applyFont="1" applyBorder="1" applyAlignment="1">
      <alignment horizontal="left"/>
    </xf>
    <xf numFmtId="0" fontId="44" fillId="0" borderId="19" xfId="0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14" fillId="10" borderId="13" xfId="2" quotePrefix="1" applyFont="1" applyFill="1" applyBorder="1" applyAlignment="1" applyProtection="1">
      <alignment horizontal="left" indent="2"/>
      <protection locked="0" hidden="1"/>
    </xf>
    <xf numFmtId="0" fontId="43" fillId="16" borderId="18" xfId="0" applyFont="1" applyFill="1" applyBorder="1" applyAlignment="1">
      <alignment horizontal="left"/>
    </xf>
    <xf numFmtId="0" fontId="43" fillId="16" borderId="0" xfId="0" applyFont="1" applyFill="1" applyAlignment="1">
      <alignment horizontal="left"/>
    </xf>
    <xf numFmtId="0" fontId="45" fillId="16" borderId="0" xfId="0" applyFont="1" applyFill="1" applyAlignment="1">
      <alignment horizontal="left"/>
    </xf>
    <xf numFmtId="0" fontId="43" fillId="0" borderId="16" xfId="0" applyFont="1" applyBorder="1" applyAlignment="1">
      <alignment horizontal="left"/>
    </xf>
    <xf numFmtId="0" fontId="46" fillId="0" borderId="0" xfId="0" applyFont="1" applyAlignment="1">
      <alignment horizontal="left"/>
    </xf>
    <xf numFmtId="49" fontId="43" fillId="16" borderId="13" xfId="0" applyNumberFormat="1" applyFont="1" applyFill="1" applyBorder="1" applyAlignment="1">
      <alignment horizontal="left" wrapText="1"/>
    </xf>
    <xf numFmtId="49" fontId="43" fillId="16" borderId="18" xfId="0" applyNumberFormat="1" applyFont="1" applyFill="1" applyBorder="1" applyAlignment="1">
      <alignment horizontal="left" wrapText="1"/>
    </xf>
    <xf numFmtId="0" fontId="4" fillId="0" borderId="0" xfId="6" applyFont="1"/>
    <xf numFmtId="0" fontId="3" fillId="0" borderId="0" xfId="6" applyFont="1"/>
    <xf numFmtId="0" fontId="14" fillId="10" borderId="13" xfId="2" applyFont="1" applyFill="1" applyBorder="1" applyAlignment="1" applyProtection="1">
      <alignment horizontal="left"/>
      <protection locked="0" hidden="1"/>
    </xf>
    <xf numFmtId="0" fontId="14" fillId="12" borderId="13" xfId="2" applyFont="1" applyFill="1" applyBorder="1" applyAlignment="1" applyProtection="1">
      <alignment horizontal="left" indent="2"/>
      <protection locked="0" hidden="1"/>
    </xf>
    <xf numFmtId="0" fontId="14" fillId="12" borderId="13" xfId="2" applyFont="1" applyFill="1" applyBorder="1" applyProtection="1">
      <protection locked="0" hidden="1"/>
    </xf>
    <xf numFmtId="0" fontId="14" fillId="12" borderId="13" xfId="2" quotePrefix="1" applyFont="1" applyFill="1" applyBorder="1" applyAlignment="1" applyProtection="1">
      <alignment horizontal="left" indent="2"/>
      <protection locked="0" hidden="1"/>
    </xf>
    <xf numFmtId="0" fontId="14" fillId="12" borderId="13" xfId="2" applyFont="1" applyFill="1" applyBorder="1" applyAlignment="1" applyProtection="1">
      <alignment horizontal="left"/>
      <protection locked="0" hidden="1"/>
    </xf>
    <xf numFmtId="0" fontId="14" fillId="12" borderId="13" xfId="2" applyFont="1" applyFill="1" applyBorder="1" applyAlignment="1" applyProtection="1">
      <alignment horizontal="center"/>
      <protection locked="0" hidden="1"/>
    </xf>
    <xf numFmtId="0" fontId="44" fillId="15" borderId="0" xfId="0" applyFont="1" applyFill="1" applyAlignment="1">
      <alignment horizontal="left"/>
    </xf>
    <xf numFmtId="0" fontId="44" fillId="0" borderId="0" xfId="0" applyFont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49" fontId="43" fillId="16" borderId="18" xfId="0" applyNumberFormat="1" applyFont="1" applyFill="1" applyBorder="1" applyAlignment="1">
      <alignment horizontal="center" vertical="center" wrapText="1"/>
    </xf>
    <xf numFmtId="49" fontId="43" fillId="0" borderId="19" xfId="0" applyNumberFormat="1" applyFont="1" applyBorder="1" applyAlignment="1">
      <alignment horizontal="center" vertical="center" wrapText="1"/>
    </xf>
    <xf numFmtId="49" fontId="44" fillId="0" borderId="19" xfId="0" applyNumberFormat="1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/>
    </xf>
    <xf numFmtId="0" fontId="43" fillId="17" borderId="19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49" fontId="43" fillId="16" borderId="21" xfId="0" applyNumberFormat="1" applyFont="1" applyFill="1" applyBorder="1" applyAlignment="1">
      <alignment horizontal="left" wrapText="1"/>
    </xf>
    <xf numFmtId="0" fontId="25" fillId="12" borderId="11" xfId="0" applyFont="1" applyFill="1" applyBorder="1"/>
    <xf numFmtId="0" fontId="27" fillId="12" borderId="16" xfId="0" applyFont="1" applyFill="1" applyBorder="1" applyAlignment="1">
      <alignment vertical="center" wrapText="1"/>
    </xf>
    <xf numFmtId="0" fontId="27" fillId="12" borderId="16" xfId="0" applyFont="1" applyFill="1" applyBorder="1"/>
    <xf numFmtId="0" fontId="27" fillId="12" borderId="16" xfId="0" quotePrefix="1" applyFont="1" applyFill="1" applyBorder="1"/>
    <xf numFmtId="0" fontId="17" fillId="12" borderId="16" xfId="0" applyFont="1" applyFill="1" applyBorder="1" applyAlignment="1">
      <alignment horizontal="left"/>
    </xf>
    <xf numFmtId="0" fontId="27" fillId="12" borderId="16" xfId="0" applyFont="1" applyFill="1" applyBorder="1" applyAlignment="1">
      <alignment horizontal="center"/>
    </xf>
    <xf numFmtId="0" fontId="33" fillId="12" borderId="16" xfId="0" applyFont="1" applyFill="1" applyBorder="1" applyAlignment="1">
      <alignment horizontal="center"/>
    </xf>
    <xf numFmtId="0" fontId="35" fillId="12" borderId="16" xfId="0" applyFont="1" applyFill="1" applyBorder="1" applyAlignment="1">
      <alignment horizontal="center"/>
    </xf>
    <xf numFmtId="0" fontId="18" fillId="12" borderId="16" xfId="0" applyFont="1" applyFill="1" applyBorder="1"/>
    <xf numFmtId="0" fontId="19" fillId="12" borderId="16" xfId="0" applyFont="1" applyFill="1" applyBorder="1"/>
    <xf numFmtId="0" fontId="19" fillId="12" borderId="0" xfId="0" applyFont="1" applyFill="1"/>
    <xf numFmtId="0" fontId="29" fillId="12" borderId="16" xfId="0" applyFont="1" applyFill="1" applyBorder="1" applyAlignment="1">
      <alignment vertical="center" wrapText="1"/>
    </xf>
    <xf numFmtId="0" fontId="29" fillId="12" borderId="16" xfId="0" applyFont="1" applyFill="1" applyBorder="1"/>
    <xf numFmtId="0" fontId="29" fillId="12" borderId="16" xfId="0" quotePrefix="1" applyFont="1" applyFill="1" applyBorder="1"/>
    <xf numFmtId="0" fontId="36" fillId="12" borderId="16" xfId="0" applyFont="1" applyFill="1" applyBorder="1" applyAlignment="1">
      <alignment horizontal="left"/>
    </xf>
    <xf numFmtId="0" fontId="29" fillId="12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40" fillId="12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vertical="center" wrapText="1"/>
    </xf>
    <xf numFmtId="0" fontId="25" fillId="12" borderId="16" xfId="0" applyFont="1" applyFill="1" applyBorder="1"/>
    <xf numFmtId="0" fontId="25" fillId="12" borderId="16" xfId="0" quotePrefix="1" applyFont="1" applyFill="1" applyBorder="1"/>
    <xf numFmtId="0" fontId="18" fillId="12" borderId="16" xfId="0" applyFont="1" applyFill="1" applyBorder="1" applyAlignment="1">
      <alignment horizontal="left"/>
    </xf>
    <xf numFmtId="0" fontId="44" fillId="0" borderId="16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4" fillId="0" borderId="0" xfId="0" quotePrefix="1" applyFont="1" applyAlignment="1">
      <alignment horizontal="left" vertical="center"/>
    </xf>
    <xf numFmtId="0" fontId="44" fillId="0" borderId="16" xfId="0" quotePrefix="1" applyFont="1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4" fillId="0" borderId="19" xfId="0" quotePrefix="1" applyFont="1" applyBorder="1" applyAlignment="1">
      <alignment horizontal="left" vertical="center"/>
    </xf>
    <xf numFmtId="0" fontId="43" fillId="0" borderId="16" xfId="0" applyFont="1" applyBorder="1" applyAlignment="1">
      <alignment horizontal="left" vertical="center"/>
    </xf>
    <xf numFmtId="0" fontId="43" fillId="0" borderId="19" xfId="0" applyFont="1" applyBorder="1" applyAlignment="1">
      <alignment horizontal="left" vertical="center"/>
    </xf>
    <xf numFmtId="49" fontId="44" fillId="0" borderId="19" xfId="0" applyNumberFormat="1" applyFont="1" applyBorder="1" applyAlignment="1">
      <alignment horizontal="left" vertical="center" wrapText="1"/>
    </xf>
    <xf numFmtId="49" fontId="44" fillId="0" borderId="0" xfId="0" applyNumberFormat="1" applyFont="1" applyAlignment="1">
      <alignment horizontal="left" vertical="center" wrapText="1"/>
    </xf>
    <xf numFmtId="49" fontId="44" fillId="0" borderId="16" xfId="0" applyNumberFormat="1" applyFont="1" applyBorder="1" applyAlignment="1">
      <alignment horizontal="left" vertical="center" wrapText="1"/>
    </xf>
    <xf numFmtId="0" fontId="33" fillId="0" borderId="11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left" vertical="center" wrapText="1"/>
    </xf>
    <xf numFmtId="0" fontId="33" fillId="0" borderId="19" xfId="0" applyFont="1" applyBorder="1" applyAlignment="1">
      <alignment horizontal="left" vertical="center" wrapText="1"/>
    </xf>
    <xf numFmtId="49" fontId="44" fillId="0" borderId="0" xfId="0" applyNumberFormat="1" applyFont="1" applyAlignment="1">
      <alignment horizontal="left" vertical="center"/>
    </xf>
    <xf numFmtId="49" fontId="44" fillId="0" borderId="16" xfId="0" applyNumberFormat="1" applyFont="1" applyBorder="1" applyAlignment="1">
      <alignment horizontal="left" vertical="center"/>
    </xf>
    <xf numFmtId="49" fontId="44" fillId="0" borderId="19" xfId="0" applyNumberFormat="1" applyFont="1" applyBorder="1" applyAlignment="1">
      <alignment horizontal="left" vertical="center"/>
    </xf>
    <xf numFmtId="3" fontId="44" fillId="0" borderId="0" xfId="0" quotePrefix="1" applyNumberFormat="1" applyFont="1" applyAlignment="1">
      <alignment horizontal="left" vertical="center"/>
    </xf>
    <xf numFmtId="3" fontId="44" fillId="0" borderId="16" xfId="0" quotePrefix="1" applyNumberFormat="1" applyFont="1" applyBorder="1" applyAlignment="1">
      <alignment horizontal="left" vertical="center"/>
    </xf>
    <xf numFmtId="3" fontId="44" fillId="0" borderId="19" xfId="0" quotePrefix="1" applyNumberFormat="1" applyFont="1" applyBorder="1" applyAlignment="1">
      <alignment horizontal="left" vertical="center"/>
    </xf>
    <xf numFmtId="0" fontId="44" fillId="0" borderId="19" xfId="0" applyFont="1" applyBorder="1" applyAlignment="1">
      <alignment vertical="center" wrapText="1"/>
    </xf>
    <xf numFmtId="0" fontId="44" fillId="0" borderId="0" xfId="0" applyFont="1" applyAlignment="1">
      <alignment vertical="center"/>
    </xf>
    <xf numFmtId="0" fontId="44" fillId="0" borderId="19" xfId="0" applyFont="1" applyBorder="1" applyAlignment="1">
      <alignment horizontal="left" vertical="center" wrapText="1"/>
    </xf>
    <xf numFmtId="0" fontId="33" fillId="0" borderId="19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5" fillId="0" borderId="19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47" fillId="0" borderId="19" xfId="0" applyFont="1" applyBorder="1" applyAlignment="1">
      <alignment horizontal="left" vertical="center"/>
    </xf>
    <xf numFmtId="0" fontId="43" fillId="17" borderId="0" xfId="0" applyFont="1" applyFill="1" applyAlignment="1">
      <alignment horizontal="left" vertical="center"/>
    </xf>
    <xf numFmtId="0" fontId="17" fillId="2" borderId="20" xfId="0" applyFont="1" applyFill="1" applyBorder="1" applyAlignment="1">
      <alignment vertical="center"/>
    </xf>
    <xf numFmtId="0" fontId="18" fillId="0" borderId="11" xfId="0" applyFont="1" applyBorder="1" applyAlignment="1">
      <alignment horizontal="left" vertical="center"/>
    </xf>
    <xf numFmtId="17" fontId="18" fillId="0" borderId="2" xfId="0" quotePrefix="1" applyNumberFormat="1" applyFont="1" applyBorder="1" applyAlignment="1">
      <alignment horizontal="left" vertical="center"/>
    </xf>
    <xf numFmtId="0" fontId="3" fillId="0" borderId="22" xfId="0" applyFont="1" applyBorder="1"/>
    <xf numFmtId="0" fontId="25" fillId="15" borderId="0" xfId="0" applyFont="1" applyFill="1"/>
    <xf numFmtId="0" fontId="7" fillId="0" borderId="0" xfId="8" applyFont="1"/>
    <xf numFmtId="0" fontId="1" fillId="0" borderId="0" xfId="8"/>
    <xf numFmtId="0" fontId="3" fillId="0" borderId="0" xfId="8" applyFont="1"/>
    <xf numFmtId="0" fontId="3" fillId="0" borderId="0" xfId="8" applyFont="1" applyAlignment="1">
      <alignment horizontal="center"/>
    </xf>
    <xf numFmtId="0" fontId="3" fillId="0" borderId="0" xfId="8" quotePrefix="1" applyFont="1" applyAlignment="1">
      <alignment horizontal="center"/>
    </xf>
    <xf numFmtId="0" fontId="3" fillId="0" borderId="0" xfId="8" quotePrefix="1" applyFont="1"/>
    <xf numFmtId="0" fontId="25" fillId="14" borderId="2" xfId="0" quotePrefix="1" applyFont="1" applyFill="1" applyBorder="1" applyAlignment="1">
      <alignment horizontal="left" vertical="center"/>
    </xf>
    <xf numFmtId="0" fontId="18" fillId="0" borderId="4" xfId="0" applyFont="1" applyBorder="1" applyAlignment="1">
      <alignment vertical="center" wrapText="1"/>
    </xf>
    <xf numFmtId="0" fontId="44" fillId="17" borderId="16" xfId="0" applyFont="1" applyFill="1" applyBorder="1" applyAlignment="1">
      <alignment horizontal="left" vertical="center"/>
    </xf>
    <xf numFmtId="0" fontId="44" fillId="17" borderId="19" xfId="0" applyFont="1" applyFill="1" applyBorder="1" applyAlignment="1">
      <alignment horizontal="left" vertical="center"/>
    </xf>
    <xf numFmtId="0" fontId="44" fillId="17" borderId="0" xfId="0" applyFont="1" applyFill="1" applyAlignment="1">
      <alignment horizontal="left" vertical="center"/>
    </xf>
    <xf numFmtId="0" fontId="44" fillId="17" borderId="19" xfId="0" applyFont="1" applyFill="1" applyBorder="1" applyAlignment="1">
      <alignment horizontal="center" vertical="center"/>
    </xf>
    <xf numFmtId="0" fontId="45" fillId="17" borderId="0" xfId="0" applyFont="1" applyFill="1" applyAlignment="1">
      <alignment horizontal="left"/>
    </xf>
    <xf numFmtId="0" fontId="44" fillId="17" borderId="16" xfId="0" quotePrefix="1" applyFont="1" applyFill="1" applyBorder="1" applyAlignment="1">
      <alignment horizontal="left" vertical="center"/>
    </xf>
    <xf numFmtId="0" fontId="45" fillId="17" borderId="0" xfId="0" applyFont="1" applyFill="1" applyAlignment="1">
      <alignment horizontal="left" vertical="center"/>
    </xf>
    <xf numFmtId="0" fontId="44" fillId="17" borderId="0" xfId="0" quotePrefix="1" applyFont="1" applyFill="1" applyAlignment="1">
      <alignment horizontal="left" vertical="center"/>
    </xf>
    <xf numFmtId="0" fontId="18" fillId="17" borderId="19" xfId="0" applyFont="1" applyFill="1" applyBorder="1" applyAlignment="1">
      <alignment horizontal="left" vertical="center"/>
    </xf>
    <xf numFmtId="0" fontId="44" fillId="17" borderId="19" xfId="0" applyFont="1" applyFill="1" applyBorder="1" applyAlignment="1">
      <alignment vertical="center"/>
    </xf>
    <xf numFmtId="0" fontId="45" fillId="17" borderId="0" xfId="0" applyFont="1" applyFill="1"/>
    <xf numFmtId="0" fontId="18" fillId="17" borderId="0" xfId="0" applyFont="1" applyFill="1" applyAlignment="1">
      <alignment vertical="center"/>
    </xf>
    <xf numFmtId="0" fontId="49" fillId="0" borderId="16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0" xfId="0" applyFont="1"/>
  </cellXfs>
  <cellStyles count="12">
    <cellStyle name="Comma" xfId="3" builtinId="3"/>
    <cellStyle name="Comma 2" xfId="9" xr:uid="{9BF4DCB1-2AED-47F9-8D0F-85A4AB7DF1FC}"/>
    <cellStyle name="Normal" xfId="0" builtinId="0"/>
    <cellStyle name="Normal 14 2" xfId="1" xr:uid="{DCE8A297-CC11-4FDC-B16B-F0146844F649}"/>
    <cellStyle name="Normal 2" xfId="6" xr:uid="{CE257CFF-C199-464E-8536-DCAE12A41E18}"/>
    <cellStyle name="Normal 3" xfId="8" xr:uid="{D335D4A3-7C66-4494-AC37-7C8665109FB6}"/>
    <cellStyle name="Normal 4" xfId="7" xr:uid="{5D34336C-F3A8-4302-9B83-03D075A88039}"/>
    <cellStyle name="Normal 5 2" xfId="5" xr:uid="{57DBB4B2-5F39-4303-8181-195BE903B70C}"/>
    <cellStyle name="Normal 5 2 2" xfId="11" xr:uid="{523B523A-74C3-439C-A677-A0A2FA0F65FA}"/>
    <cellStyle name="Normal 6" xfId="4" xr:uid="{FADF0C2B-AB2A-4916-9363-F78B073B4B54}"/>
    <cellStyle name="Normal 6 2" xfId="10" xr:uid="{7F3B7C68-E6F6-4C82-BF50-CE42EC15FEA9}"/>
    <cellStyle name="Normal_Fixed Cost Variance, format" xfId="2" xr:uid="{A71EAB55-6945-443B-976F-868FDC33E472}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D601CD3-FA31-498C-9BAF-C2AC107F50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7</xdr:row>
      <xdr:rowOff>85725</xdr:rowOff>
    </xdr:from>
    <xdr:ext cx="752475" cy="876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799330" y="1285875"/>
          <a:ext cx="75247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0" bIns="45700" anchor="t" anchorCtr="0">
          <a:noAutofit/>
        </a:bodyPr>
        <a:lstStyle/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Phòng ban</a:t>
          </a:r>
          <a:endParaRPr sz="1400"/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0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0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Cost </a:t>
          </a:r>
          <a:endParaRPr sz="1400"/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Center</a:t>
          </a: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	</a:t>
          </a: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3</xdr:col>
      <xdr:colOff>180975</xdr:colOff>
      <xdr:row>7</xdr:row>
      <xdr:rowOff>85725</xdr:rowOff>
    </xdr:from>
    <xdr:ext cx="752475" cy="876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244090" y="1285875"/>
          <a:ext cx="75247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0" bIns="45700" anchor="t" anchorCtr="0">
          <a:noAutofit/>
        </a:bodyPr>
        <a:lstStyle/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Tài khoản</a:t>
          </a:r>
          <a:endParaRPr sz="1400"/>
        </a:p>
        <a:p>
          <a:pPr marL="0" lvl="0" indent="0" algn="ctr" rtl="0">
            <a:lnSpc>
              <a:spcPct val="95000"/>
            </a:lnSpc>
            <a:spcBef>
              <a:spcPts val="0"/>
            </a:spcBef>
            <a:spcAft>
              <a:spcPts val="0"/>
            </a:spcAft>
            <a:buNone/>
          </a:pPr>
          <a:endParaRPr sz="105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0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Natural</a:t>
          </a:r>
          <a:endParaRPr sz="1400"/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Account</a:t>
          </a:r>
          <a:endParaRPr sz="10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4</xdr:col>
      <xdr:colOff>209550</xdr:colOff>
      <xdr:row>7</xdr:row>
      <xdr:rowOff>85725</xdr:rowOff>
    </xdr:from>
    <xdr:ext cx="752475" cy="8763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512185" y="1285875"/>
          <a:ext cx="75247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0" bIns="45700" anchor="t" anchorCtr="0">
          <a:noAutofit/>
        </a:bodyPr>
        <a:lstStyle/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Khoản mục phí</a:t>
          </a:r>
          <a:endParaRPr sz="1400"/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Sub Account</a:t>
          </a:r>
          <a:endParaRPr sz="1400"/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6</xdr:col>
      <xdr:colOff>247650</xdr:colOff>
      <xdr:row>7</xdr:row>
      <xdr:rowOff>76200</xdr:rowOff>
    </xdr:from>
    <xdr:ext cx="752475" cy="876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029325" y="1276350"/>
          <a:ext cx="75247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0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 panose="020B0604020202090204"/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Ngành hàng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 panose="020B0604020202090204"/>
            <a:buNone/>
          </a:pPr>
          <a:endParaRPr sz="1100" b="1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 panose="020B0604020202090204"/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Business line</a:t>
          </a:r>
          <a:endParaRPr sz="1100" b="1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9</xdr:col>
      <xdr:colOff>200025</xdr:colOff>
      <xdr:row>7</xdr:row>
      <xdr:rowOff>57150</xdr:rowOff>
    </xdr:from>
    <xdr:ext cx="752475" cy="876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460740" y="1257300"/>
          <a:ext cx="75247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91425" bIns="45700" anchor="t" anchorCtr="0">
          <a:noAutofit/>
        </a:bodyPr>
        <a:lstStyle/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Nội bộ</a:t>
          </a:r>
          <a:endParaRPr sz="1400"/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0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Inter company</a:t>
          </a: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2</xdr:col>
      <xdr:colOff>152400</xdr:colOff>
      <xdr:row>7</xdr:row>
      <xdr:rowOff>95250</xdr:rowOff>
    </xdr:from>
    <xdr:ext cx="752475" cy="8763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75995" y="1295400"/>
          <a:ext cx="75247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0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Công ty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Legal</a:t>
          </a:r>
          <a:r>
            <a:rPr lang="en-US" sz="1000" b="1" baseline="0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 Entity</a:t>
          </a:r>
          <a:endParaRPr sz="10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2</xdr:col>
      <xdr:colOff>485775</xdr:colOff>
      <xdr:row>5</xdr:row>
      <xdr:rowOff>0</xdr:rowOff>
    </xdr:from>
    <xdr:ext cx="38100" cy="4286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670175" y="846667"/>
          <a:ext cx="38100" cy="428625"/>
          <a:chOff x="5346000" y="3565688"/>
          <a:chExt cx="0" cy="428625"/>
        </a:xfrm>
      </xdr:grpSpPr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3</xdr:col>
      <xdr:colOff>533400</xdr:colOff>
      <xdr:row>4</xdr:row>
      <xdr:rowOff>161925</xdr:rowOff>
    </xdr:from>
    <xdr:ext cx="38100" cy="4286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3750733" y="839258"/>
          <a:ext cx="38100" cy="428625"/>
          <a:chOff x="5346000" y="3565688"/>
          <a:chExt cx="0" cy="428625"/>
        </a:xfrm>
      </xdr:grpSpPr>
      <xdr:cxnSp macro="">
        <xdr:nvCxnSpPr>
          <xdr:cNvPr id="11" name="Shape 9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4</xdr:col>
      <xdr:colOff>552450</xdr:colOff>
      <xdr:row>5</xdr:row>
      <xdr:rowOff>9525</xdr:rowOff>
    </xdr:from>
    <xdr:ext cx="38100" cy="419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4929717" y="856192"/>
          <a:ext cx="38100" cy="419100"/>
          <a:chOff x="5346000" y="3570450"/>
          <a:chExt cx="0" cy="419100"/>
        </a:xfrm>
      </xdr:grpSpPr>
      <xdr:cxnSp macro="">
        <xdr:nvCxnSpPr>
          <xdr:cNvPr id="13" name="Shape 1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CxnSpPr/>
        </xdr:nvCxnSpPr>
        <xdr:spPr>
          <a:xfrm>
            <a:off x="5346000" y="3570450"/>
            <a:ext cx="0" cy="419100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5</xdr:col>
      <xdr:colOff>533400</xdr:colOff>
      <xdr:row>5</xdr:row>
      <xdr:rowOff>9525</xdr:rowOff>
    </xdr:from>
    <xdr:ext cx="38100" cy="4191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6070600" y="856192"/>
          <a:ext cx="38100" cy="419100"/>
          <a:chOff x="5346000" y="3570450"/>
          <a:chExt cx="0" cy="419100"/>
        </a:xfrm>
      </xdr:grpSpPr>
      <xdr:cxnSp macro="">
        <xdr:nvCxnSpPr>
          <xdr:cNvPr id="15" name="Shape 10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CxnSpPr/>
        </xdr:nvCxnSpPr>
        <xdr:spPr>
          <a:xfrm>
            <a:off x="5346000" y="3570450"/>
            <a:ext cx="0" cy="419100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6</xdr:col>
      <xdr:colOff>581025</xdr:colOff>
      <xdr:row>5</xdr:row>
      <xdr:rowOff>0</xdr:rowOff>
    </xdr:from>
    <xdr:ext cx="38100" cy="42862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7278158" y="846667"/>
          <a:ext cx="38100" cy="428625"/>
          <a:chOff x="5346000" y="3565688"/>
          <a:chExt cx="0" cy="428625"/>
        </a:xfrm>
      </xdr:grpSpPr>
      <xdr:cxnSp macro="">
        <xdr:nvCxnSpPr>
          <xdr:cNvPr id="17" name="Shape 9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9</xdr:col>
      <xdr:colOff>571500</xdr:colOff>
      <xdr:row>5</xdr:row>
      <xdr:rowOff>9525</xdr:rowOff>
    </xdr:from>
    <xdr:ext cx="38100" cy="428625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10748433" y="856192"/>
          <a:ext cx="38100" cy="428625"/>
          <a:chOff x="5346000" y="3565688"/>
          <a:chExt cx="0" cy="428625"/>
        </a:xfrm>
      </xdr:grpSpPr>
      <xdr:cxnSp macro="">
        <xdr:nvCxnSpPr>
          <xdr:cNvPr id="19" name="Shape 9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10</xdr:col>
      <xdr:colOff>150283</xdr:colOff>
      <xdr:row>7</xdr:row>
      <xdr:rowOff>14817</xdr:rowOff>
    </xdr:from>
    <xdr:ext cx="809625" cy="876300"/>
    <xdr:sp macro="" textlink="">
      <xdr:nvSpPr>
        <xdr:cNvPr id="20" name="Shape 1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1643783" y="1200150"/>
          <a:ext cx="80962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91425" bIns="45700" anchor="t" anchorCtr="0">
          <a:noAutofit/>
        </a:bodyPr>
        <a:lstStyle/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Site</a:t>
          </a: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lang="en-US" sz="1100" b="1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lang="en-US" sz="1100" b="1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lang="en-US" sz="1100" b="1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Site</a:t>
          </a: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10</xdr:col>
      <xdr:colOff>609600</xdr:colOff>
      <xdr:row>4</xdr:row>
      <xdr:rowOff>142875</xdr:rowOff>
    </xdr:from>
    <xdr:ext cx="38100" cy="42862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1802533" y="820208"/>
          <a:ext cx="38100" cy="428625"/>
          <a:chOff x="5346000" y="3565688"/>
          <a:chExt cx="0" cy="428625"/>
        </a:xfrm>
      </xdr:grpSpPr>
      <xdr:cxnSp macro="">
        <xdr:nvCxnSpPr>
          <xdr:cNvPr id="22" name="Shape 1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7</xdr:col>
      <xdr:colOff>561975</xdr:colOff>
      <xdr:row>4</xdr:row>
      <xdr:rowOff>161925</xdr:rowOff>
    </xdr:from>
    <xdr:ext cx="38100" cy="42862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8419042" y="839258"/>
          <a:ext cx="38100" cy="428625"/>
          <a:chOff x="5346000" y="3565688"/>
          <a:chExt cx="0" cy="428625"/>
        </a:xfrm>
      </xdr:grpSpPr>
      <xdr:cxnSp macro="">
        <xdr:nvCxnSpPr>
          <xdr:cNvPr id="24" name="Shape 12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7</xdr:col>
      <xdr:colOff>219075</xdr:colOff>
      <xdr:row>7</xdr:row>
      <xdr:rowOff>66675</xdr:rowOff>
    </xdr:from>
    <xdr:ext cx="752475" cy="876300"/>
    <xdr:sp macro="" textlink="">
      <xdr:nvSpPr>
        <xdr:cNvPr id="25" name="Shape 1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7240270" y="1266825"/>
          <a:ext cx="75247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91425" bIns="45700" anchor="t" anchorCtr="0">
          <a:noAutofit/>
        </a:bodyPr>
        <a:lstStyle/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Thương hiệu</a:t>
          </a:r>
          <a:endParaRPr sz="1400"/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Brand</a:t>
          </a: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8</xdr:col>
      <xdr:colOff>221755</xdr:colOff>
      <xdr:row>7</xdr:row>
      <xdr:rowOff>65397</xdr:rowOff>
    </xdr:from>
    <xdr:ext cx="809625" cy="876300"/>
    <xdr:sp macro="" textlink="">
      <xdr:nvSpPr>
        <xdr:cNvPr id="26" name="Shape 11">
          <a:extLst>
            <a:ext uri="{FF2B5EF4-FFF2-40B4-BE49-F238E27FC236}">
              <a16:creationId xmlns:a16="http://schemas.microsoft.com/office/drawing/2014/main" id="{6990AA73-54B8-407F-86B9-C4901689B0CC}"/>
            </a:ext>
          </a:extLst>
        </xdr:cNvPr>
        <xdr:cNvSpPr txBox="1"/>
      </xdr:nvSpPr>
      <xdr:spPr>
        <a:xfrm>
          <a:off x="8427274" y="1277670"/>
          <a:ext cx="80962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91425" bIns="45700" anchor="t" anchorCtr="0">
          <a:noAutofit/>
        </a:bodyPr>
        <a:lstStyle/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Kênh</a:t>
          </a:r>
          <a:r>
            <a:rPr lang="en-US" sz="1100" b="1" baseline="0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 bán hàng</a:t>
          </a: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lang="en-US" sz="1100" b="1" baseline="0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lang="en-US" sz="1100" b="1" baseline="0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 baseline="0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Channel</a:t>
          </a: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8</xdr:col>
      <xdr:colOff>609600</xdr:colOff>
      <xdr:row>4</xdr:row>
      <xdr:rowOff>142875</xdr:rowOff>
    </xdr:from>
    <xdr:ext cx="38100" cy="428625"/>
    <xdr:grpSp>
      <xdr:nvGrpSpPr>
        <xdr:cNvPr id="27" name="Shape 2">
          <a:extLst>
            <a:ext uri="{FF2B5EF4-FFF2-40B4-BE49-F238E27FC236}">
              <a16:creationId xmlns:a16="http://schemas.microsoft.com/office/drawing/2014/main" id="{984D3BE9-A6D4-4AF7-9429-E76EFD33FD24}"/>
            </a:ext>
          </a:extLst>
        </xdr:cNvPr>
        <xdr:cNvGrpSpPr/>
      </xdr:nvGrpSpPr>
      <xdr:grpSpPr>
        <a:xfrm>
          <a:off x="9626600" y="820208"/>
          <a:ext cx="38100" cy="428625"/>
          <a:chOff x="5346000" y="3565688"/>
          <a:chExt cx="0" cy="428625"/>
        </a:xfrm>
      </xdr:grpSpPr>
      <xdr:cxnSp macro="">
        <xdr:nvCxnSpPr>
          <xdr:cNvPr id="28" name="Shape 12">
            <a:extLst>
              <a:ext uri="{FF2B5EF4-FFF2-40B4-BE49-F238E27FC236}">
                <a16:creationId xmlns:a16="http://schemas.microsoft.com/office/drawing/2014/main" id="{7C4E604A-AF76-2419-64CC-0866A5D3AFD5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11</xdr:col>
      <xdr:colOff>150283</xdr:colOff>
      <xdr:row>7</xdr:row>
      <xdr:rowOff>14817</xdr:rowOff>
    </xdr:from>
    <xdr:ext cx="809625" cy="876300"/>
    <xdr:sp macro="" textlink="">
      <xdr:nvSpPr>
        <xdr:cNvPr id="29" name="Shape 11">
          <a:extLst>
            <a:ext uri="{FF2B5EF4-FFF2-40B4-BE49-F238E27FC236}">
              <a16:creationId xmlns:a16="http://schemas.microsoft.com/office/drawing/2014/main" id="{25624452-015A-4DFE-91EE-A9D08D6FAA3A}"/>
            </a:ext>
          </a:extLst>
        </xdr:cNvPr>
        <xdr:cNvSpPr txBox="1"/>
      </xdr:nvSpPr>
      <xdr:spPr>
        <a:xfrm>
          <a:off x="11643783" y="1200150"/>
          <a:ext cx="809625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0" tIns="91425" rIns="91425" bIns="45700" anchor="t" anchorCtr="0">
          <a:noAutofit/>
        </a:bodyPr>
        <a:lstStyle/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Dự phòng</a:t>
          </a: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lang="en-US" sz="1100" b="1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lang="en-US" sz="1100" b="1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endParaRPr lang="en-US" sz="1100" b="1">
            <a:solidFill>
              <a:schemeClr val="lt1"/>
            </a:solidFill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  <a:p>
          <a:pPr marL="0" lvl="0" indent="0" algn="ctr" rtl="0">
            <a:lnSpc>
              <a:spcPct val="91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 panose="020B0604020202090204"/>
              <a:ea typeface="Arial" panose="020B0604020202090204"/>
              <a:cs typeface="Arial" panose="020B0604020202090204"/>
              <a:sym typeface="Arial" panose="020B0604020202090204"/>
            </a:rPr>
            <a:t>Reserve</a:t>
          </a:r>
          <a:endParaRPr sz="1100" b="1"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endParaRPr>
        </a:p>
      </xdr:txBody>
    </xdr:sp>
    <xdr:clientData fLocksWithSheet="0"/>
  </xdr:oneCellAnchor>
  <xdr:oneCellAnchor>
    <xdr:from>
      <xdr:col>11</xdr:col>
      <xdr:colOff>609600</xdr:colOff>
      <xdr:row>4</xdr:row>
      <xdr:rowOff>142875</xdr:rowOff>
    </xdr:from>
    <xdr:ext cx="38100" cy="428625"/>
    <xdr:grpSp>
      <xdr:nvGrpSpPr>
        <xdr:cNvPr id="30" name="Shape 2">
          <a:extLst>
            <a:ext uri="{FF2B5EF4-FFF2-40B4-BE49-F238E27FC236}">
              <a16:creationId xmlns:a16="http://schemas.microsoft.com/office/drawing/2014/main" id="{08D15CB2-4A4E-4089-A14E-F1CC408E1394}"/>
            </a:ext>
          </a:extLst>
        </xdr:cNvPr>
        <xdr:cNvGrpSpPr/>
      </xdr:nvGrpSpPr>
      <xdr:grpSpPr>
        <a:xfrm>
          <a:off x="12801600" y="820208"/>
          <a:ext cx="38100" cy="428625"/>
          <a:chOff x="5346000" y="3565688"/>
          <a:chExt cx="0" cy="428625"/>
        </a:xfrm>
      </xdr:grpSpPr>
      <xdr:cxnSp macro="">
        <xdr:nvCxnSpPr>
          <xdr:cNvPr id="31" name="Shape 12">
            <a:extLst>
              <a:ext uri="{FF2B5EF4-FFF2-40B4-BE49-F238E27FC236}">
                <a16:creationId xmlns:a16="http://schemas.microsoft.com/office/drawing/2014/main" id="{28025C46-062B-3D58-8509-04CA2121901C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7S6ind9GJNSJ9YxXLnD_FPS2ILbbcJHn\DTPP\TG2%20-%20Requirements\Customer%20Doc\GL\DTPP_COA_Draft%20-%2020240923.xlsx" TargetMode="External"/><Relationship Id="rId1" Type="http://schemas.openxmlformats.org/officeDocument/2006/relationships/externalLinkPath" Target="https://aronvn-my.sharepoint.com/.shortcut-targets-by-id/17S6ind9GJNSJ9YxXLnD_FPS2ILbbcJHn/DTPP/TG2%20-%20Requirements/Customer%20Doc/GL/DTPP_COA_Draft%20-%20202409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"/>
      <sheetName val="Seg 1_Công ty"/>
      <sheetName val="Seg 2_TK BS"/>
      <sheetName val="Seg 2_TK PL"/>
      <sheetName val="Seg 2_7ky tu"/>
      <sheetName val="Seg 2 TK Ngoại bảng"/>
      <sheetName val="Bank R"/>
      <sheetName val="Seg 6_Khu vực"/>
      <sheetName val="Seg 4_Location"/>
      <sheetName val="Seg 3 - Sub Acc"/>
      <sheetName val="Seg 4_Cost center"/>
      <sheetName val="Seg 5_Business line"/>
      <sheetName val="Seg 6_Brand"/>
      <sheetName val="Seg 7_Channel"/>
      <sheetName val="Seg 8_Inter"/>
      <sheetName val="Seg 9_10_Reserve"/>
      <sheetName val="Bo p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B5" t="str">
            <v>Mã Bộ phận</v>
          </cell>
          <cell r="C5" t="str">
            <v>Tên bộ phận (dự kiến)</v>
          </cell>
        </row>
        <row r="6">
          <cell r="B6">
            <v>11</v>
          </cell>
          <cell r="C6" t="str">
            <v>Bộ phận Ban Điều hành</v>
          </cell>
        </row>
        <row r="7">
          <cell r="B7">
            <v>12</v>
          </cell>
          <cell r="C7" t="str">
            <v>Bộ phận Kinh doanh</v>
          </cell>
        </row>
        <row r="8">
          <cell r="B8">
            <v>13</v>
          </cell>
          <cell r="C8" t="str">
            <v>Bộ phận Logistic - Quản lý</v>
          </cell>
        </row>
        <row r="9">
          <cell r="B9">
            <v>14</v>
          </cell>
          <cell r="C9" t="str">
            <v>Bộ phận Logistic - Kho</v>
          </cell>
        </row>
        <row r="10">
          <cell r="B10">
            <v>15</v>
          </cell>
          <cell r="C10" t="str">
            <v>Bộ phận Logistic - Giao nhận</v>
          </cell>
        </row>
        <row r="11">
          <cell r="B11">
            <v>16</v>
          </cell>
          <cell r="C11" t="str">
            <v>Bộ phận Marketing</v>
          </cell>
        </row>
        <row r="12">
          <cell r="B12">
            <v>17</v>
          </cell>
          <cell r="C12" t="str">
            <v>Bộ phận Trade Marketing</v>
          </cell>
        </row>
        <row r="13">
          <cell r="B13">
            <v>18</v>
          </cell>
          <cell r="C13" t="str">
            <v>Bộ phận Tài chính - Kế toán</v>
          </cell>
        </row>
        <row r="14">
          <cell r="B14">
            <v>19</v>
          </cell>
          <cell r="C14" t="str">
            <v>Bộ phận Hành chính - Nhân sự</v>
          </cell>
        </row>
        <row r="15">
          <cell r="B15">
            <v>20</v>
          </cell>
          <cell r="C15" t="str">
            <v>Bộ phận Kế hoạch</v>
          </cell>
        </row>
        <row r="16">
          <cell r="B16">
            <v>21</v>
          </cell>
          <cell r="C16" t="str">
            <v>Bộ phận Xuất nhập khẩu</v>
          </cell>
        </row>
        <row r="17">
          <cell r="B17">
            <v>22</v>
          </cell>
          <cell r="C17" t="str">
            <v>Bộ phận Sourcing</v>
          </cell>
        </row>
        <row r="18">
          <cell r="B18">
            <v>23</v>
          </cell>
          <cell r="C18" t="str">
            <v>Bộ phận Mua hàng</v>
          </cell>
        </row>
        <row r="19">
          <cell r="B19">
            <v>24</v>
          </cell>
          <cell r="C19" t="str">
            <v>Bộ phận Công nghệ thông tin</v>
          </cell>
        </row>
        <row r="20">
          <cell r="B20">
            <v>25</v>
          </cell>
          <cell r="C20" t="str">
            <v>Bộ phận Nghiên cứu phát triển</v>
          </cell>
        </row>
        <row r="21">
          <cell r="B21">
            <v>26</v>
          </cell>
          <cell r="C21" t="str">
            <v>Bộ phận Bảo trì - Kỹ thuật - Cơ điện</v>
          </cell>
        </row>
        <row r="22">
          <cell r="B22">
            <v>27</v>
          </cell>
          <cell r="C22" t="str">
            <v>Bộ phận QA-QC-ATTP-LAB</v>
          </cell>
        </row>
        <row r="23">
          <cell r="B23">
            <v>28</v>
          </cell>
          <cell r="C23" t="str">
            <v>Bộ phận chung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AC1001"/>
  <sheetViews>
    <sheetView tabSelected="1" topLeftCell="A19" zoomScale="90" zoomScaleNormal="90" workbookViewId="0">
      <selection activeCell="D53" sqref="D53"/>
    </sheetView>
  </sheetViews>
  <sheetFormatPr defaultColWidth="12.59765625" defaultRowHeight="15" customHeight="1"/>
  <cols>
    <col min="1" max="1" width="12.59765625" style="1"/>
    <col min="2" max="2" width="16.09765625" style="1" customWidth="1"/>
    <col min="3" max="3" width="13.5" style="1" customWidth="1"/>
    <col min="4" max="9" width="15.19921875" style="1" customWidth="1"/>
    <col min="10" max="10" width="13.296875" style="1" customWidth="1"/>
    <col min="11" max="12" width="13.09765625" style="1" customWidth="1"/>
    <col min="13" max="13" width="8.19921875" style="1" customWidth="1"/>
    <col min="14" max="14" width="22.69921875" style="1" customWidth="1"/>
    <col min="15" max="16" width="10.796875" style="1" customWidth="1"/>
    <col min="17" max="17" width="10.59765625" style="1" customWidth="1"/>
    <col min="18" max="18" width="8.19921875" style="1" customWidth="1"/>
    <col min="19" max="19" width="12.69921875" style="1" customWidth="1"/>
    <col min="20" max="29" width="8.19921875" style="1" customWidth="1"/>
    <col min="30" max="16384" width="12.59765625" style="1"/>
  </cols>
  <sheetData>
    <row r="1" spans="2:29" ht="13.5" customHeight="1">
      <c r="D1" s="7"/>
      <c r="E1" s="7"/>
      <c r="F1" s="7"/>
      <c r="G1" s="7"/>
      <c r="H1" s="7"/>
      <c r="U1" s="9"/>
    </row>
    <row r="2" spans="2:29" ht="13.5" customHeight="1">
      <c r="D2" s="346" t="s">
        <v>1</v>
      </c>
      <c r="E2" s="347"/>
      <c r="F2" s="347"/>
      <c r="G2" s="347"/>
      <c r="H2" s="30"/>
    </row>
    <row r="3" spans="2:29" ht="13.5" customHeight="1">
      <c r="D3" s="7"/>
      <c r="E3" s="7"/>
      <c r="F3" s="7"/>
      <c r="G3" s="7"/>
      <c r="H3" s="7"/>
    </row>
    <row r="4" spans="2:29" ht="13.5" customHeight="1">
      <c r="B4" s="40"/>
      <c r="C4" s="41" t="s">
        <v>2</v>
      </c>
      <c r="D4" s="41" t="s">
        <v>3</v>
      </c>
      <c r="E4" s="41" t="s">
        <v>4</v>
      </c>
      <c r="F4" s="41" t="s">
        <v>5</v>
      </c>
      <c r="G4" s="41" t="s">
        <v>6</v>
      </c>
      <c r="H4" s="41" t="s">
        <v>7</v>
      </c>
      <c r="I4" s="41" t="s">
        <v>8</v>
      </c>
      <c r="J4" s="41" t="s">
        <v>9</v>
      </c>
      <c r="K4" s="41" t="s">
        <v>400</v>
      </c>
      <c r="L4" s="41" t="s">
        <v>548</v>
      </c>
      <c r="M4" s="40"/>
      <c r="N4" s="74"/>
      <c r="O4" s="40"/>
      <c r="P4" s="40"/>
      <c r="Q4" s="40"/>
      <c r="R4" s="75"/>
      <c r="T4" s="40"/>
      <c r="V4" s="40"/>
      <c r="W4" s="40"/>
      <c r="X4" s="40"/>
      <c r="Y4" s="40"/>
      <c r="Z4" s="40"/>
      <c r="AA4" s="40"/>
      <c r="AB4" s="40"/>
      <c r="AC4" s="40"/>
    </row>
    <row r="5" spans="2:29" ht="13.5" customHeight="1">
      <c r="C5" s="42" t="s">
        <v>10</v>
      </c>
      <c r="D5" s="42" t="s">
        <v>800</v>
      </c>
      <c r="E5" s="42" t="s">
        <v>799</v>
      </c>
      <c r="F5" s="42" t="s">
        <v>947</v>
      </c>
      <c r="G5" s="42" t="s">
        <v>939</v>
      </c>
      <c r="H5" s="42" t="s">
        <v>801</v>
      </c>
      <c r="I5" s="42" t="s">
        <v>802</v>
      </c>
      <c r="J5" s="42" t="s">
        <v>10</v>
      </c>
      <c r="K5" s="42" t="s">
        <v>10</v>
      </c>
      <c r="L5" s="42" t="s">
        <v>11</v>
      </c>
    </row>
    <row r="6" spans="2:29" ht="13.5" customHeight="1">
      <c r="D6" s="7"/>
      <c r="E6" s="7"/>
      <c r="F6" s="7"/>
      <c r="G6" s="7"/>
      <c r="H6" s="7"/>
    </row>
    <row r="7" spans="2:29" ht="13.5" customHeight="1">
      <c r="D7" s="7"/>
      <c r="E7" s="7"/>
      <c r="F7" s="7"/>
      <c r="G7" s="7"/>
      <c r="H7" s="7"/>
    </row>
    <row r="8" spans="2:29" ht="13.5" customHeight="1">
      <c r="D8" s="7"/>
      <c r="E8" s="7"/>
      <c r="F8" s="7"/>
      <c r="G8" s="7"/>
      <c r="H8" s="7"/>
    </row>
    <row r="9" spans="2:29" ht="13.5" customHeight="1">
      <c r="D9" s="7"/>
      <c r="E9" s="7"/>
      <c r="F9" s="7"/>
      <c r="G9" s="7"/>
      <c r="H9" s="7"/>
    </row>
    <row r="10" spans="2:29" ht="13.5" customHeight="1">
      <c r="D10" s="7"/>
      <c r="E10" s="7"/>
      <c r="F10" s="7"/>
      <c r="G10" s="7"/>
      <c r="H10" s="7"/>
    </row>
    <row r="11" spans="2:29" ht="13.5" customHeight="1">
      <c r="D11" s="7"/>
      <c r="E11" s="7"/>
      <c r="F11" s="7"/>
      <c r="G11" s="7"/>
      <c r="H11" s="7"/>
    </row>
    <row r="12" spans="2:29" ht="13.5" customHeight="1">
      <c r="D12" s="7"/>
      <c r="E12" s="7"/>
      <c r="F12" s="7"/>
      <c r="G12" s="7"/>
      <c r="H12" s="7"/>
    </row>
    <row r="13" spans="2:29" ht="13.5" customHeight="1">
      <c r="D13" s="7"/>
      <c r="E13" s="7"/>
      <c r="F13" s="7"/>
      <c r="G13" s="7"/>
      <c r="H13" s="7"/>
    </row>
    <row r="14" spans="2:29" ht="13.5" customHeight="1">
      <c r="B14" s="30"/>
      <c r="C14" s="8" t="s">
        <v>964</v>
      </c>
      <c r="D14" s="8" t="s">
        <v>12</v>
      </c>
      <c r="E14" s="8" t="s">
        <v>13</v>
      </c>
      <c r="F14" s="8" t="s">
        <v>14</v>
      </c>
      <c r="G14" s="8" t="s">
        <v>15</v>
      </c>
      <c r="H14" s="8" t="s">
        <v>16</v>
      </c>
      <c r="I14" s="8" t="s">
        <v>394</v>
      </c>
      <c r="J14" s="8" t="s">
        <v>17</v>
      </c>
      <c r="K14" s="8" t="s">
        <v>938</v>
      </c>
      <c r="L14" s="8" t="s">
        <v>980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spans="2:29" ht="13.5" customHeight="1" thickBot="1">
      <c r="D15" s="7"/>
      <c r="E15" s="7"/>
      <c r="F15" s="7"/>
      <c r="G15" s="7"/>
      <c r="H15" s="7"/>
    </row>
    <row r="16" spans="2:29" ht="13.5" customHeight="1" thickTop="1" thickBot="1">
      <c r="B16" s="43" t="s">
        <v>18</v>
      </c>
      <c r="C16" s="44">
        <v>2</v>
      </c>
      <c r="D16" s="44">
        <v>7</v>
      </c>
      <c r="E16" s="44">
        <v>5</v>
      </c>
      <c r="F16" s="44">
        <v>3</v>
      </c>
      <c r="G16" s="44">
        <v>6</v>
      </c>
      <c r="H16" s="44">
        <v>4</v>
      </c>
      <c r="I16" s="44">
        <v>5</v>
      </c>
      <c r="J16" s="44">
        <v>2</v>
      </c>
      <c r="K16" s="44">
        <v>2</v>
      </c>
      <c r="L16" s="44">
        <v>4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2:14" ht="13.5" customHeight="1" thickTop="1">
      <c r="B17" s="326"/>
      <c r="C17" s="328">
        <v>17</v>
      </c>
      <c r="D17" s="158" t="s">
        <v>953</v>
      </c>
      <c r="E17" s="329" t="s">
        <v>667</v>
      </c>
      <c r="F17" s="329" t="s">
        <v>369</v>
      </c>
      <c r="G17" s="329" t="s">
        <v>923</v>
      </c>
      <c r="H17" s="329" t="s">
        <v>312</v>
      </c>
      <c r="I17" s="329" t="s">
        <v>667</v>
      </c>
      <c r="J17" s="329" t="s">
        <v>370</v>
      </c>
      <c r="K17" s="329" t="s">
        <v>370</v>
      </c>
      <c r="L17" s="329" t="s">
        <v>312</v>
      </c>
      <c r="M17" s="327"/>
    </row>
    <row r="18" spans="2:14" ht="13.5" customHeight="1">
      <c r="B18" s="326"/>
      <c r="C18" s="328">
        <v>17</v>
      </c>
      <c r="D18" s="328">
        <v>1289999</v>
      </c>
      <c r="E18" s="329" t="s">
        <v>948</v>
      </c>
      <c r="F18" s="329" t="s">
        <v>949</v>
      </c>
      <c r="G18" s="329" t="s">
        <v>950</v>
      </c>
      <c r="H18" s="329" t="s">
        <v>951</v>
      </c>
      <c r="I18" s="329" t="s">
        <v>948</v>
      </c>
      <c r="J18" s="329" t="s">
        <v>952</v>
      </c>
      <c r="K18" s="329" t="s">
        <v>952</v>
      </c>
      <c r="L18" s="329" t="s">
        <v>951</v>
      </c>
      <c r="M18" s="327"/>
    </row>
    <row r="19" spans="2:14" ht="13.5" customHeight="1">
      <c r="B19" s="326"/>
      <c r="C19" s="325" t="str">
        <f>CONCATENATE(C17,"-",D17,"-",E17,"-",F17,"-",G17,"-",H17,"-",I17,"-",J17,"-",K17,"-",L17)</f>
        <v>17-4131101-00000-000-000000-0000-00000-00-00-0000</v>
      </c>
      <c r="D19" s="328"/>
      <c r="E19" s="329"/>
      <c r="F19" s="329"/>
      <c r="G19" s="329"/>
      <c r="H19" s="329"/>
      <c r="I19" s="329"/>
      <c r="J19" s="330"/>
      <c r="K19" s="329"/>
      <c r="L19" s="329"/>
      <c r="M19" s="327"/>
      <c r="N19" s="332" t="s">
        <v>954</v>
      </c>
    </row>
    <row r="20" spans="2:14" ht="13.5" customHeight="1">
      <c r="B20" s="326"/>
      <c r="C20" s="325" t="str">
        <f>CONCATENATE(C18,"-",D18,"-",E18,"-",F18,"-",G18,"-",H18,"-",I18,"-",J18,"-",K18,"-",L18)</f>
        <v>17-1289999-ZZZZZ-ZZZ-ZZZZZZ-ZZZZ-ZZZZZ-ZZ-ZZ-ZZZZ</v>
      </c>
      <c r="D20" s="328"/>
      <c r="E20" s="329"/>
      <c r="F20" s="329"/>
      <c r="G20" s="329"/>
      <c r="H20" s="329"/>
      <c r="I20" s="329"/>
      <c r="J20" s="330"/>
      <c r="K20" s="329"/>
      <c r="L20" s="329"/>
      <c r="M20" s="327"/>
      <c r="N20" s="332" t="s">
        <v>955</v>
      </c>
    </row>
    <row r="21" spans="2:14" ht="13.5" customHeight="1">
      <c r="B21" s="45" t="s">
        <v>19</v>
      </c>
      <c r="C21" s="45">
        <f>SUM(C16:L16)</f>
        <v>40</v>
      </c>
      <c r="D21" s="7"/>
      <c r="E21" s="7"/>
      <c r="F21" s="7"/>
      <c r="G21" s="7"/>
      <c r="H21" s="7"/>
      <c r="N21" s="332" t="s">
        <v>956</v>
      </c>
    </row>
    <row r="22" spans="2:14" ht="13.5" customHeight="1">
      <c r="B22" s="45"/>
      <c r="C22" s="45"/>
      <c r="D22" s="7"/>
      <c r="E22" s="7"/>
      <c r="F22" s="7"/>
      <c r="G22" s="7"/>
      <c r="H22" s="7"/>
      <c r="N22" s="332" t="s">
        <v>957</v>
      </c>
    </row>
    <row r="23" spans="2:14" ht="13.5" customHeight="1">
      <c r="B23" s="53" t="s">
        <v>371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N23" s="332" t="s">
        <v>958</v>
      </c>
    </row>
    <row r="24" spans="2:14" ht="13.5" customHeight="1">
      <c r="C24" s="54"/>
      <c r="D24" s="54"/>
      <c r="E24" s="54"/>
      <c r="F24" s="54"/>
      <c r="G24" s="54"/>
      <c r="H24" s="54"/>
      <c r="I24" s="54"/>
      <c r="J24" s="54"/>
      <c r="K24" s="54"/>
      <c r="L24" s="54"/>
      <c r="N24" s="332" t="s">
        <v>959</v>
      </c>
    </row>
    <row r="25" spans="2:14" ht="13.5" customHeight="1">
      <c r="C25" s="55" t="s">
        <v>372</v>
      </c>
      <c r="D25" s="56" t="s">
        <v>296</v>
      </c>
      <c r="E25" s="55" t="s">
        <v>373</v>
      </c>
      <c r="F25" s="55" t="s">
        <v>374</v>
      </c>
      <c r="G25" s="55" t="s">
        <v>375</v>
      </c>
      <c r="H25" s="55" t="s">
        <v>387</v>
      </c>
      <c r="I25" s="55" t="s">
        <v>395</v>
      </c>
      <c r="J25" s="55" t="s">
        <v>376</v>
      </c>
      <c r="K25" s="55" t="s">
        <v>981</v>
      </c>
      <c r="L25" s="55" t="s">
        <v>377</v>
      </c>
      <c r="N25" s="332" t="s">
        <v>960</v>
      </c>
    </row>
    <row r="26" spans="2:14" ht="13.5" customHeight="1">
      <c r="C26" s="54"/>
      <c r="D26" s="54"/>
      <c r="E26" s="54"/>
      <c r="F26" s="54"/>
      <c r="G26" s="54"/>
      <c r="H26" s="54"/>
      <c r="I26" s="54"/>
      <c r="J26" s="54"/>
      <c r="K26" s="54"/>
      <c r="L26" s="54"/>
      <c r="N26" s="332" t="s">
        <v>961</v>
      </c>
    </row>
    <row r="27" spans="2:14" ht="13.5" customHeight="1">
      <c r="B27" s="57" t="s">
        <v>378</v>
      </c>
      <c r="C27" s="46" t="s">
        <v>388</v>
      </c>
      <c r="D27" s="54"/>
      <c r="E27" s="54"/>
      <c r="F27" s="54"/>
      <c r="G27" s="54"/>
      <c r="H27" s="54"/>
      <c r="I27" s="54"/>
      <c r="J27" s="54"/>
      <c r="K27" s="54"/>
      <c r="L27" s="54"/>
      <c r="N27" s="332" t="s">
        <v>962</v>
      </c>
    </row>
    <row r="28" spans="2:14" ht="13.5" customHeight="1">
      <c r="B28" s="58" t="s">
        <v>379</v>
      </c>
      <c r="C28" s="59" t="s">
        <v>372</v>
      </c>
      <c r="D28" s="60" t="s">
        <v>296</v>
      </c>
      <c r="E28" s="59" t="s">
        <v>373</v>
      </c>
      <c r="F28" s="59" t="s">
        <v>374</v>
      </c>
      <c r="G28" s="59" t="s">
        <v>375</v>
      </c>
      <c r="H28" s="59" t="s">
        <v>387</v>
      </c>
      <c r="I28" s="59" t="s">
        <v>395</v>
      </c>
      <c r="J28" s="59" t="s">
        <v>376</v>
      </c>
      <c r="K28" s="59" t="s">
        <v>377</v>
      </c>
      <c r="L28" s="59" t="s">
        <v>377</v>
      </c>
      <c r="N28" s="332" t="s">
        <v>963</v>
      </c>
    </row>
    <row r="29" spans="2:14" ht="26.1" customHeight="1">
      <c r="B29" s="58" t="s">
        <v>0</v>
      </c>
      <c r="C29" s="61">
        <v>11</v>
      </c>
      <c r="D29" s="61">
        <v>642101</v>
      </c>
      <c r="E29" s="61">
        <v>3101</v>
      </c>
      <c r="F29" s="61">
        <v>103</v>
      </c>
      <c r="G29" s="62" t="s">
        <v>369</v>
      </c>
      <c r="H29" s="62" t="s">
        <v>369</v>
      </c>
      <c r="I29" s="62" t="s">
        <v>369</v>
      </c>
      <c r="J29" s="62" t="s">
        <v>370</v>
      </c>
      <c r="K29" s="62" t="s">
        <v>369</v>
      </c>
      <c r="L29" s="62" t="s">
        <v>369</v>
      </c>
    </row>
    <row r="30" spans="2:14" ht="36" customHeight="1">
      <c r="B30" s="63" t="s">
        <v>311</v>
      </c>
      <c r="C30" s="64" t="s">
        <v>984</v>
      </c>
      <c r="D30" s="64" t="s">
        <v>380</v>
      </c>
      <c r="E30" s="64" t="s">
        <v>381</v>
      </c>
      <c r="F30" s="64" t="s">
        <v>382</v>
      </c>
      <c r="G30" s="64" t="s">
        <v>383</v>
      </c>
      <c r="H30" s="64" t="s">
        <v>383</v>
      </c>
      <c r="I30" s="64" t="s">
        <v>383</v>
      </c>
      <c r="J30" s="64" t="s">
        <v>383</v>
      </c>
      <c r="K30" s="64" t="s">
        <v>383</v>
      </c>
      <c r="L30" s="64" t="s">
        <v>383</v>
      </c>
    </row>
    <row r="31" spans="2:14" ht="13.5" customHeight="1">
      <c r="B31" s="58" t="s">
        <v>384</v>
      </c>
      <c r="C31" s="65" t="s">
        <v>397</v>
      </c>
      <c r="D31" s="66"/>
      <c r="E31" s="66"/>
      <c r="F31" s="66"/>
      <c r="G31" s="66"/>
      <c r="H31" s="66"/>
      <c r="I31" s="66"/>
      <c r="J31" s="66"/>
      <c r="K31" s="66"/>
      <c r="L31" s="66"/>
    </row>
    <row r="32" spans="2:14" ht="13.5" customHeight="1"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spans="2:19" ht="13.5" customHeight="1">
      <c r="B33" s="57" t="s">
        <v>385</v>
      </c>
      <c r="C33" s="46" t="s">
        <v>985</v>
      </c>
      <c r="D33" s="54"/>
      <c r="E33" s="54"/>
      <c r="F33" s="54"/>
      <c r="G33" s="54"/>
      <c r="H33" s="54"/>
      <c r="I33" s="54"/>
      <c r="J33" s="54"/>
      <c r="K33" s="54"/>
      <c r="L33" s="54"/>
    </row>
    <row r="34" spans="2:19" ht="13.5" customHeight="1">
      <c r="B34" s="58" t="s">
        <v>379</v>
      </c>
      <c r="C34" s="59" t="s">
        <v>372</v>
      </c>
      <c r="D34" s="60" t="s">
        <v>296</v>
      </c>
      <c r="E34" s="59" t="s">
        <v>373</v>
      </c>
      <c r="F34" s="59" t="s">
        <v>374</v>
      </c>
      <c r="G34" s="59" t="s">
        <v>375</v>
      </c>
      <c r="H34" s="59" t="s">
        <v>387</v>
      </c>
      <c r="I34" s="59" t="s">
        <v>395</v>
      </c>
      <c r="J34" s="59" t="s">
        <v>376</v>
      </c>
      <c r="K34" s="59" t="s">
        <v>377</v>
      </c>
      <c r="L34" s="59" t="s">
        <v>377</v>
      </c>
    </row>
    <row r="35" spans="2:19" ht="13.5" customHeight="1">
      <c r="B35" s="58" t="s">
        <v>0</v>
      </c>
      <c r="C35" s="61">
        <v>11</v>
      </c>
      <c r="D35" s="61">
        <v>131101</v>
      </c>
      <c r="E35" s="62" t="s">
        <v>312</v>
      </c>
      <c r="F35" s="62" t="s">
        <v>369</v>
      </c>
      <c r="G35" s="62" t="s">
        <v>369</v>
      </c>
      <c r="H35" s="62" t="s">
        <v>369</v>
      </c>
      <c r="I35" s="62" t="s">
        <v>369</v>
      </c>
      <c r="J35" s="62">
        <v>12</v>
      </c>
      <c r="K35" s="62" t="s">
        <v>369</v>
      </c>
      <c r="L35" s="62" t="s">
        <v>369</v>
      </c>
    </row>
    <row r="36" spans="2:19" ht="13.5" customHeight="1">
      <c r="B36" s="63" t="s">
        <v>311</v>
      </c>
      <c r="C36" s="64" t="s">
        <v>984</v>
      </c>
      <c r="D36" s="64" t="s">
        <v>386</v>
      </c>
      <c r="E36" s="64" t="s">
        <v>383</v>
      </c>
      <c r="F36" s="64" t="s">
        <v>383</v>
      </c>
      <c r="G36" s="64" t="s">
        <v>383</v>
      </c>
      <c r="H36" s="64" t="s">
        <v>383</v>
      </c>
      <c r="I36" s="64" t="s">
        <v>383</v>
      </c>
      <c r="J36" s="64" t="s">
        <v>389</v>
      </c>
      <c r="K36" s="64" t="s">
        <v>383</v>
      </c>
      <c r="L36" s="64" t="s">
        <v>383</v>
      </c>
    </row>
    <row r="37" spans="2:19" ht="13.5" customHeight="1">
      <c r="B37" s="58" t="s">
        <v>384</v>
      </c>
      <c r="C37" s="65" t="s">
        <v>398</v>
      </c>
      <c r="D37" s="66"/>
      <c r="E37" s="66"/>
      <c r="F37" s="66"/>
      <c r="G37" s="66"/>
      <c r="H37" s="66"/>
      <c r="I37" s="66"/>
      <c r="J37" s="66"/>
      <c r="K37" s="66"/>
      <c r="L37" s="66"/>
    </row>
    <row r="38" spans="2:19" ht="13.5" customHeight="1">
      <c r="D38" s="7"/>
      <c r="E38" s="7"/>
      <c r="F38" s="7"/>
      <c r="G38" s="7"/>
      <c r="H38" s="7"/>
    </row>
    <row r="39" spans="2:19" ht="13.5" customHeight="1">
      <c r="B39" s="57" t="s">
        <v>390</v>
      </c>
      <c r="C39" s="46" t="s">
        <v>391</v>
      </c>
      <c r="D39" s="54"/>
      <c r="E39" s="54"/>
      <c r="F39" s="54"/>
      <c r="G39" s="54"/>
      <c r="H39" s="54"/>
      <c r="I39" s="54"/>
      <c r="J39" s="54"/>
      <c r="K39" s="54"/>
      <c r="L39" s="54"/>
    </row>
    <row r="40" spans="2:19" ht="13.5" customHeight="1">
      <c r="B40" s="58" t="s">
        <v>379</v>
      </c>
      <c r="C40" s="59" t="s">
        <v>372</v>
      </c>
      <c r="D40" s="60" t="s">
        <v>296</v>
      </c>
      <c r="E40" s="59" t="s">
        <v>373</v>
      </c>
      <c r="F40" s="59" t="s">
        <v>374</v>
      </c>
      <c r="G40" s="59" t="s">
        <v>375</v>
      </c>
      <c r="H40" s="59" t="s">
        <v>387</v>
      </c>
      <c r="I40" s="59" t="s">
        <v>395</v>
      </c>
      <c r="J40" s="59" t="s">
        <v>376</v>
      </c>
      <c r="K40" s="59" t="s">
        <v>377</v>
      </c>
      <c r="L40" s="59" t="s">
        <v>377</v>
      </c>
    </row>
    <row r="41" spans="2:19" ht="13.5" customHeight="1">
      <c r="B41" s="58" t="s">
        <v>0</v>
      </c>
      <c r="C41" s="61">
        <v>11</v>
      </c>
      <c r="D41" s="61">
        <v>511101</v>
      </c>
      <c r="E41" s="62" t="s">
        <v>312</v>
      </c>
      <c r="F41" s="62" t="s">
        <v>369</v>
      </c>
      <c r="G41" s="62">
        <v>101</v>
      </c>
      <c r="H41" s="62">
        <v>101</v>
      </c>
      <c r="I41" s="62">
        <v>101</v>
      </c>
      <c r="J41" s="62" t="s">
        <v>370</v>
      </c>
      <c r="K41" s="62" t="s">
        <v>369</v>
      </c>
      <c r="L41" s="62" t="s">
        <v>369</v>
      </c>
    </row>
    <row r="42" spans="2:19" ht="13.5" customHeight="1">
      <c r="B42" s="63" t="s">
        <v>311</v>
      </c>
      <c r="C42" s="64" t="s">
        <v>984</v>
      </c>
      <c r="D42" s="64" t="s">
        <v>391</v>
      </c>
      <c r="E42" s="64" t="s">
        <v>383</v>
      </c>
      <c r="F42" s="64" t="s">
        <v>383</v>
      </c>
      <c r="G42" s="64" t="s">
        <v>392</v>
      </c>
      <c r="H42" s="64" t="s">
        <v>393</v>
      </c>
      <c r="I42" s="64" t="s">
        <v>396</v>
      </c>
      <c r="J42" s="64" t="s">
        <v>383</v>
      </c>
      <c r="K42" s="64" t="s">
        <v>383</v>
      </c>
      <c r="L42" s="64" t="s">
        <v>383</v>
      </c>
    </row>
    <row r="43" spans="2:19" ht="13.5" customHeight="1">
      <c r="B43" s="58" t="s">
        <v>384</v>
      </c>
      <c r="C43" s="65" t="s">
        <v>399</v>
      </c>
      <c r="D43" s="66"/>
      <c r="E43" s="66"/>
      <c r="F43" s="66"/>
      <c r="G43" s="66" t="s">
        <v>410</v>
      </c>
      <c r="H43" s="66"/>
      <c r="I43" s="66"/>
      <c r="J43" s="66"/>
      <c r="K43" s="66"/>
      <c r="L43" s="66"/>
    </row>
    <row r="44" spans="2:19" ht="13.5" customHeight="1">
      <c r="D44" s="7"/>
      <c r="E44" s="7"/>
      <c r="F44" s="7"/>
      <c r="G44" s="7"/>
      <c r="H44" s="7"/>
    </row>
    <row r="45" spans="2:19" ht="13.5" customHeight="1">
      <c r="D45" s="7"/>
      <c r="E45" s="7"/>
      <c r="F45" s="7"/>
      <c r="G45" s="7"/>
      <c r="H45" s="7"/>
    </row>
    <row r="46" spans="2:19" ht="13.5" customHeight="1">
      <c r="D46" s="7"/>
      <c r="E46" s="7"/>
      <c r="F46" s="7"/>
      <c r="G46" s="7"/>
      <c r="H46" s="7"/>
    </row>
    <row r="47" spans="2:19" ht="13.5" customHeight="1">
      <c r="B47" s="140"/>
      <c r="C47" s="140" t="s">
        <v>549</v>
      </c>
      <c r="D47" s="140"/>
      <c r="E47" s="140"/>
      <c r="F47" s="140"/>
      <c r="G47" s="140" t="s">
        <v>550</v>
      </c>
      <c r="H47" s="140"/>
      <c r="I47" s="140"/>
      <c r="J47" s="141"/>
      <c r="K47" s="140" t="s">
        <v>551</v>
      </c>
      <c r="L47" s="140"/>
      <c r="M47" s="140"/>
      <c r="N47" s="140"/>
      <c r="O47" s="140" t="s">
        <v>552</v>
      </c>
      <c r="P47" s="140"/>
      <c r="Q47" s="140"/>
      <c r="R47" s="140"/>
      <c r="S47" s="140"/>
    </row>
    <row r="48" spans="2:19" ht="13.5" customHeight="1">
      <c r="J48" s="165"/>
      <c r="O48" s="1" t="s">
        <v>553</v>
      </c>
    </row>
    <row r="49" spans="2:19" ht="13.5" customHeight="1">
      <c r="B49" s="9" t="s">
        <v>554</v>
      </c>
      <c r="C49" s="9" t="s">
        <v>296</v>
      </c>
      <c r="D49" s="9" t="s">
        <v>374</v>
      </c>
      <c r="E49" s="9" t="s">
        <v>555</v>
      </c>
      <c r="F49" s="142"/>
      <c r="G49" s="9" t="s">
        <v>296</v>
      </c>
      <c r="H49" s="9" t="s">
        <v>374</v>
      </c>
      <c r="I49" s="9" t="s">
        <v>555</v>
      </c>
      <c r="J49" s="142"/>
      <c r="K49" s="9" t="s">
        <v>296</v>
      </c>
      <c r="L49" s="9" t="s">
        <v>374</v>
      </c>
      <c r="M49" s="9" t="s">
        <v>555</v>
      </c>
      <c r="N49" s="9"/>
      <c r="O49" s="9" t="s">
        <v>296</v>
      </c>
      <c r="P49" s="9" t="s">
        <v>374</v>
      </c>
      <c r="Q49" s="9" t="s">
        <v>555</v>
      </c>
      <c r="R49" s="9"/>
      <c r="S49" s="9"/>
    </row>
    <row r="50" spans="2:19" ht="13.5" customHeight="1">
      <c r="B50" s="1" t="s">
        <v>556</v>
      </c>
      <c r="C50" s="1">
        <v>241101</v>
      </c>
      <c r="D50" s="143" t="s">
        <v>543</v>
      </c>
      <c r="E50" s="31" t="s">
        <v>544</v>
      </c>
      <c r="F50" s="165">
        <v>90000000</v>
      </c>
      <c r="G50" s="1">
        <v>241101</v>
      </c>
      <c r="H50" s="143" t="s">
        <v>543</v>
      </c>
      <c r="I50" s="31" t="s">
        <v>544</v>
      </c>
      <c r="J50" s="165">
        <v>100000000</v>
      </c>
      <c r="K50" s="1">
        <v>241101</v>
      </c>
      <c r="L50" s="143" t="s">
        <v>543</v>
      </c>
      <c r="M50" s="31" t="s">
        <v>544</v>
      </c>
      <c r="O50" s="1">
        <v>242101</v>
      </c>
      <c r="P50" s="144" t="s">
        <v>312</v>
      </c>
      <c r="Q50" s="144" t="s">
        <v>312</v>
      </c>
    </row>
    <row r="51" spans="2:19" ht="13.5" customHeight="1">
      <c r="C51" s="1">
        <v>241101</v>
      </c>
      <c r="D51" s="143" t="s">
        <v>543</v>
      </c>
      <c r="E51" s="31" t="s">
        <v>545</v>
      </c>
      <c r="F51" s="165">
        <v>50000000</v>
      </c>
      <c r="G51" s="1">
        <v>241101</v>
      </c>
      <c r="H51" s="143" t="s">
        <v>543</v>
      </c>
      <c r="I51" s="31" t="s">
        <v>545</v>
      </c>
      <c r="J51" s="165">
        <v>50000000</v>
      </c>
      <c r="K51" s="1">
        <v>241101</v>
      </c>
      <c r="L51" s="143" t="s">
        <v>543</v>
      </c>
      <c r="M51" s="31" t="s">
        <v>545</v>
      </c>
      <c r="O51" s="1">
        <v>211101</v>
      </c>
      <c r="P51" s="144" t="s">
        <v>312</v>
      </c>
      <c r="Q51" s="144" t="s">
        <v>312</v>
      </c>
    </row>
    <row r="52" spans="2:19" ht="13.5" customHeight="1">
      <c r="J52" s="165"/>
    </row>
    <row r="53" spans="2:19" ht="13.5" customHeight="1">
      <c r="J53" s="165"/>
      <c r="O53" s="1" t="s">
        <v>557</v>
      </c>
    </row>
    <row r="54" spans="2:19" ht="13.5" customHeight="1">
      <c r="J54" s="165"/>
      <c r="O54" s="1" t="s">
        <v>296</v>
      </c>
      <c r="P54" s="1" t="s">
        <v>374</v>
      </c>
      <c r="Q54" s="1" t="s">
        <v>555</v>
      </c>
    </row>
    <row r="55" spans="2:19" ht="13.5" customHeight="1">
      <c r="J55" s="165"/>
      <c r="O55" s="1" t="s">
        <v>558</v>
      </c>
      <c r="P55" s="143" t="s">
        <v>559</v>
      </c>
      <c r="Q55" s="145" t="s">
        <v>281</v>
      </c>
    </row>
    <row r="56" spans="2:19" ht="13.5" customHeight="1">
      <c r="J56" s="165"/>
      <c r="O56" s="1" t="s">
        <v>558</v>
      </c>
      <c r="P56" s="143" t="s">
        <v>559</v>
      </c>
      <c r="Q56" s="145" t="s">
        <v>282</v>
      </c>
    </row>
    <row r="57" spans="2:19" ht="13.5" customHeight="1">
      <c r="D57" s="7"/>
      <c r="E57" s="7"/>
      <c r="F57" s="7"/>
      <c r="G57" s="7"/>
      <c r="H57" s="7"/>
    </row>
    <row r="58" spans="2:19" ht="13.5" customHeight="1">
      <c r="D58" s="7"/>
      <c r="E58" s="7"/>
      <c r="F58" s="7"/>
      <c r="G58" s="7"/>
      <c r="H58" s="7"/>
    </row>
    <row r="59" spans="2:19" ht="13.5" customHeight="1">
      <c r="D59" s="7"/>
      <c r="E59" s="7"/>
      <c r="F59" s="7"/>
      <c r="G59" s="7"/>
      <c r="H59" s="7"/>
    </row>
    <row r="60" spans="2:19" ht="13.5" customHeight="1">
      <c r="D60" s="7"/>
      <c r="E60" s="7"/>
      <c r="F60" s="7"/>
      <c r="G60" s="7"/>
      <c r="H60" s="7"/>
    </row>
    <row r="61" spans="2:19" ht="13.5" customHeight="1">
      <c r="D61" s="7"/>
      <c r="E61" s="7"/>
      <c r="F61" s="7"/>
      <c r="G61" s="7"/>
      <c r="H61" s="7"/>
    </row>
    <row r="62" spans="2:19" ht="13.5" customHeight="1">
      <c r="D62" s="7"/>
      <c r="E62" s="7"/>
      <c r="F62" s="7"/>
      <c r="G62" s="7"/>
      <c r="H62" s="7"/>
    </row>
    <row r="63" spans="2:19" ht="13.5" customHeight="1">
      <c r="D63" s="7"/>
      <c r="E63" s="7"/>
      <c r="F63" s="7"/>
      <c r="G63" s="7"/>
      <c r="H63" s="7"/>
    </row>
    <row r="64" spans="2:19" ht="13.5" customHeight="1">
      <c r="D64" s="7"/>
      <c r="E64" s="7"/>
      <c r="F64" s="7"/>
      <c r="G64" s="7"/>
      <c r="H64" s="7"/>
    </row>
    <row r="65" spans="4:8" ht="13.5" customHeight="1">
      <c r="D65" s="7"/>
      <c r="E65" s="7"/>
      <c r="F65" s="7"/>
      <c r="G65" s="7"/>
      <c r="H65" s="7"/>
    </row>
    <row r="66" spans="4:8" ht="13.5" customHeight="1">
      <c r="D66" s="7"/>
      <c r="E66" s="7"/>
      <c r="F66" s="7"/>
      <c r="G66" s="7"/>
      <c r="H66" s="7"/>
    </row>
    <row r="67" spans="4:8" ht="13.5" customHeight="1">
      <c r="D67" s="7"/>
      <c r="E67" s="7"/>
      <c r="F67" s="7"/>
      <c r="G67" s="7"/>
      <c r="H67" s="7"/>
    </row>
    <row r="68" spans="4:8" ht="13.5" customHeight="1">
      <c r="D68" s="7"/>
      <c r="E68" s="7"/>
      <c r="F68" s="7"/>
      <c r="G68" s="7"/>
      <c r="H68" s="7"/>
    </row>
    <row r="69" spans="4:8" ht="13.5" customHeight="1">
      <c r="D69" s="7"/>
      <c r="E69" s="7"/>
      <c r="F69" s="7"/>
      <c r="G69" s="7"/>
      <c r="H69" s="7"/>
    </row>
    <row r="70" spans="4:8" ht="13.5" customHeight="1">
      <c r="D70" s="7"/>
      <c r="E70" s="7"/>
      <c r="F70" s="7"/>
      <c r="G70" s="7"/>
      <c r="H70" s="7"/>
    </row>
    <row r="71" spans="4:8" ht="13.5" customHeight="1">
      <c r="D71" s="7"/>
      <c r="E71" s="7"/>
      <c r="F71" s="7"/>
      <c r="G71" s="7"/>
      <c r="H71" s="7"/>
    </row>
    <row r="72" spans="4:8" ht="13.5" customHeight="1">
      <c r="D72" s="7"/>
      <c r="E72" s="7"/>
      <c r="F72" s="7"/>
      <c r="G72" s="7"/>
      <c r="H72" s="7"/>
    </row>
    <row r="73" spans="4:8" ht="13.5" customHeight="1">
      <c r="D73" s="7"/>
      <c r="E73" s="7"/>
      <c r="F73" s="7"/>
      <c r="G73" s="7"/>
      <c r="H73" s="7"/>
    </row>
    <row r="74" spans="4:8" ht="13.5" customHeight="1">
      <c r="D74" s="7"/>
      <c r="E74" s="7"/>
      <c r="F74" s="7"/>
      <c r="G74" s="7"/>
      <c r="H74" s="7"/>
    </row>
    <row r="75" spans="4:8" ht="13.5" customHeight="1">
      <c r="D75" s="7"/>
      <c r="E75" s="7"/>
      <c r="F75" s="7"/>
      <c r="G75" s="7"/>
      <c r="H75" s="7"/>
    </row>
    <row r="76" spans="4:8" ht="13.5" customHeight="1">
      <c r="D76" s="7"/>
      <c r="E76" s="7"/>
      <c r="F76" s="7"/>
      <c r="G76" s="7"/>
      <c r="H76" s="7"/>
    </row>
    <row r="77" spans="4:8" ht="13.5" customHeight="1">
      <c r="D77" s="7"/>
      <c r="E77" s="7"/>
      <c r="F77" s="7"/>
      <c r="G77" s="7"/>
      <c r="H77" s="7"/>
    </row>
    <row r="78" spans="4:8" ht="13.5" customHeight="1">
      <c r="D78" s="7"/>
      <c r="E78" s="7"/>
      <c r="F78" s="7"/>
      <c r="G78" s="7"/>
      <c r="H78" s="7"/>
    </row>
    <row r="79" spans="4:8" ht="13.5" customHeight="1">
      <c r="D79" s="7"/>
      <c r="E79" s="7"/>
      <c r="F79" s="7"/>
      <c r="G79" s="7"/>
      <c r="H79" s="7"/>
    </row>
    <row r="80" spans="4:8" ht="13.5" customHeight="1">
      <c r="D80" s="7"/>
      <c r="E80" s="7"/>
      <c r="F80" s="7"/>
      <c r="G80" s="7"/>
      <c r="H80" s="7"/>
    </row>
    <row r="81" spans="4:8" ht="13.5" customHeight="1">
      <c r="D81" s="7"/>
      <c r="E81" s="7"/>
      <c r="F81" s="7"/>
      <c r="G81" s="7"/>
      <c r="H81" s="7"/>
    </row>
    <row r="82" spans="4:8" ht="13.5" customHeight="1">
      <c r="D82" s="7"/>
      <c r="E82" s="7"/>
      <c r="F82" s="7"/>
      <c r="G82" s="7"/>
      <c r="H82" s="7"/>
    </row>
    <row r="83" spans="4:8" ht="13.5" customHeight="1">
      <c r="D83" s="7"/>
      <c r="E83" s="7"/>
      <c r="F83" s="7"/>
      <c r="G83" s="7"/>
      <c r="H83" s="7"/>
    </row>
    <row r="84" spans="4:8" ht="13.5" customHeight="1">
      <c r="D84" s="7"/>
      <c r="E84" s="7"/>
      <c r="F84" s="7"/>
      <c r="G84" s="7"/>
      <c r="H84" s="7"/>
    </row>
    <row r="85" spans="4:8" ht="13.5" customHeight="1">
      <c r="D85" s="7"/>
      <c r="E85" s="7"/>
      <c r="F85" s="7"/>
      <c r="G85" s="7"/>
      <c r="H85" s="7"/>
    </row>
    <row r="86" spans="4:8" ht="13.5" customHeight="1">
      <c r="D86" s="7"/>
      <c r="E86" s="7"/>
      <c r="F86" s="7"/>
      <c r="G86" s="7"/>
      <c r="H86" s="7"/>
    </row>
    <row r="87" spans="4:8" ht="13.5" customHeight="1">
      <c r="D87" s="7"/>
      <c r="E87" s="7"/>
      <c r="F87" s="7"/>
      <c r="G87" s="7"/>
      <c r="H87" s="7"/>
    </row>
    <row r="88" spans="4:8" ht="13.5" customHeight="1">
      <c r="D88" s="7"/>
      <c r="E88" s="7"/>
      <c r="F88" s="7"/>
      <c r="G88" s="7"/>
      <c r="H88" s="7"/>
    </row>
    <row r="89" spans="4:8" ht="13.5" customHeight="1">
      <c r="D89" s="7"/>
      <c r="E89" s="7"/>
      <c r="F89" s="7"/>
      <c r="G89" s="7"/>
      <c r="H89" s="7"/>
    </row>
    <row r="90" spans="4:8" ht="13.5" customHeight="1">
      <c r="D90" s="7"/>
      <c r="E90" s="7"/>
      <c r="F90" s="7"/>
      <c r="G90" s="7"/>
      <c r="H90" s="7"/>
    </row>
    <row r="91" spans="4:8" ht="13.5" customHeight="1">
      <c r="D91" s="7"/>
      <c r="E91" s="7"/>
      <c r="F91" s="7"/>
      <c r="G91" s="7"/>
      <c r="H91" s="7"/>
    </row>
    <row r="92" spans="4:8" ht="13.5" customHeight="1">
      <c r="D92" s="7"/>
      <c r="E92" s="7"/>
      <c r="F92" s="7"/>
      <c r="G92" s="7"/>
      <c r="H92" s="7"/>
    </row>
    <row r="93" spans="4:8" ht="13.5" customHeight="1">
      <c r="D93" s="7"/>
      <c r="E93" s="7"/>
      <c r="F93" s="7"/>
      <c r="G93" s="7"/>
      <c r="H93" s="7"/>
    </row>
    <row r="94" spans="4:8" ht="13.5" customHeight="1">
      <c r="D94" s="7"/>
      <c r="E94" s="7"/>
      <c r="F94" s="7"/>
      <c r="G94" s="7"/>
      <c r="H94" s="7"/>
    </row>
    <row r="95" spans="4:8" ht="13.5" customHeight="1">
      <c r="D95" s="7"/>
      <c r="E95" s="7"/>
      <c r="F95" s="7"/>
      <c r="G95" s="7"/>
      <c r="H95" s="7"/>
    </row>
    <row r="96" spans="4:8" ht="13.5" customHeight="1">
      <c r="D96" s="7"/>
      <c r="E96" s="7"/>
      <c r="F96" s="7"/>
      <c r="G96" s="7"/>
      <c r="H96" s="7"/>
    </row>
    <row r="97" spans="4:8" ht="13.5" customHeight="1">
      <c r="D97" s="7"/>
      <c r="E97" s="7"/>
      <c r="F97" s="7"/>
      <c r="G97" s="7"/>
      <c r="H97" s="7"/>
    </row>
    <row r="98" spans="4:8" ht="13.5" customHeight="1">
      <c r="D98" s="7"/>
      <c r="E98" s="7"/>
      <c r="F98" s="7"/>
      <c r="G98" s="7"/>
      <c r="H98" s="7"/>
    </row>
    <row r="99" spans="4:8" ht="13.5" customHeight="1">
      <c r="D99" s="7"/>
      <c r="E99" s="7"/>
      <c r="F99" s="7"/>
      <c r="G99" s="7"/>
      <c r="H99" s="7"/>
    </row>
    <row r="100" spans="4:8" ht="13.5" customHeight="1">
      <c r="D100" s="7"/>
      <c r="E100" s="7"/>
      <c r="F100" s="7"/>
      <c r="G100" s="7"/>
      <c r="H100" s="7"/>
    </row>
    <row r="101" spans="4:8" ht="13.5" customHeight="1">
      <c r="D101" s="7"/>
      <c r="E101" s="7"/>
      <c r="F101" s="7"/>
      <c r="G101" s="7"/>
      <c r="H101" s="7"/>
    </row>
    <row r="102" spans="4:8" ht="13.5" customHeight="1">
      <c r="D102" s="7"/>
      <c r="E102" s="7"/>
      <c r="F102" s="7"/>
      <c r="G102" s="7"/>
      <c r="H102" s="7"/>
    </row>
    <row r="103" spans="4:8" ht="13.5" customHeight="1">
      <c r="D103" s="7"/>
      <c r="E103" s="7"/>
      <c r="F103" s="7"/>
      <c r="G103" s="7"/>
      <c r="H103" s="7"/>
    </row>
    <row r="104" spans="4:8" ht="13.5" customHeight="1">
      <c r="D104" s="7"/>
      <c r="E104" s="7"/>
      <c r="F104" s="7"/>
      <c r="G104" s="7"/>
      <c r="H104" s="7"/>
    </row>
    <row r="105" spans="4:8" ht="13.5" customHeight="1">
      <c r="D105" s="7"/>
      <c r="E105" s="7"/>
      <c r="F105" s="7"/>
      <c r="G105" s="7"/>
      <c r="H105" s="7"/>
    </row>
    <row r="106" spans="4:8" ht="13.5" customHeight="1">
      <c r="D106" s="7"/>
      <c r="E106" s="7"/>
      <c r="F106" s="7"/>
      <c r="G106" s="7"/>
      <c r="H106" s="7"/>
    </row>
    <row r="107" spans="4:8" ht="13.5" customHeight="1">
      <c r="D107" s="7"/>
      <c r="E107" s="7"/>
      <c r="F107" s="7"/>
      <c r="G107" s="7"/>
      <c r="H107" s="7"/>
    </row>
    <row r="108" spans="4:8" ht="13.5" customHeight="1">
      <c r="D108" s="7"/>
      <c r="E108" s="7"/>
      <c r="F108" s="7"/>
      <c r="G108" s="7"/>
      <c r="H108" s="7"/>
    </row>
    <row r="109" spans="4:8" ht="13.5" customHeight="1">
      <c r="D109" s="7"/>
      <c r="E109" s="7"/>
      <c r="F109" s="7"/>
      <c r="G109" s="7"/>
      <c r="H109" s="7"/>
    </row>
    <row r="110" spans="4:8" ht="13.5" customHeight="1">
      <c r="D110" s="7"/>
      <c r="E110" s="7"/>
      <c r="F110" s="7"/>
      <c r="G110" s="7"/>
      <c r="H110" s="7"/>
    </row>
    <row r="111" spans="4:8" ht="13.5" customHeight="1">
      <c r="D111" s="7"/>
      <c r="E111" s="7"/>
      <c r="F111" s="7"/>
      <c r="G111" s="7"/>
      <c r="H111" s="7"/>
    </row>
    <row r="112" spans="4:8" ht="13.5" customHeight="1">
      <c r="D112" s="7"/>
      <c r="E112" s="7"/>
      <c r="F112" s="7"/>
      <c r="G112" s="7"/>
      <c r="H112" s="7"/>
    </row>
    <row r="113" spans="4:8" ht="13.5" customHeight="1">
      <c r="D113" s="7"/>
      <c r="E113" s="7"/>
      <c r="F113" s="7"/>
      <c r="G113" s="7"/>
      <c r="H113" s="7"/>
    </row>
    <row r="114" spans="4:8" ht="13.5" customHeight="1">
      <c r="D114" s="7"/>
      <c r="E114" s="7"/>
      <c r="F114" s="7"/>
      <c r="G114" s="7"/>
      <c r="H114" s="7"/>
    </row>
    <row r="115" spans="4:8" ht="13.5" customHeight="1">
      <c r="D115" s="7"/>
      <c r="E115" s="7"/>
      <c r="F115" s="7"/>
      <c r="G115" s="7"/>
      <c r="H115" s="7"/>
    </row>
    <row r="116" spans="4:8" ht="13.5" customHeight="1">
      <c r="D116" s="7"/>
      <c r="E116" s="7"/>
      <c r="F116" s="7"/>
      <c r="G116" s="7"/>
      <c r="H116" s="7"/>
    </row>
    <row r="117" spans="4:8" ht="13.5" customHeight="1">
      <c r="D117" s="7"/>
      <c r="E117" s="7"/>
      <c r="F117" s="7"/>
      <c r="G117" s="7"/>
      <c r="H117" s="7"/>
    </row>
    <row r="118" spans="4:8" ht="13.5" customHeight="1">
      <c r="D118" s="7"/>
      <c r="E118" s="7"/>
      <c r="F118" s="7"/>
      <c r="G118" s="7"/>
      <c r="H118" s="7"/>
    </row>
    <row r="119" spans="4:8" ht="13.5" customHeight="1">
      <c r="D119" s="7"/>
      <c r="E119" s="7"/>
      <c r="F119" s="7"/>
      <c r="G119" s="7"/>
      <c r="H119" s="7"/>
    </row>
    <row r="120" spans="4:8" ht="13.5" customHeight="1">
      <c r="D120" s="7"/>
      <c r="E120" s="7"/>
      <c r="F120" s="7"/>
      <c r="G120" s="7"/>
      <c r="H120" s="7"/>
    </row>
    <row r="121" spans="4:8" ht="13.5" customHeight="1">
      <c r="D121" s="7"/>
      <c r="E121" s="7"/>
      <c r="F121" s="7"/>
      <c r="G121" s="7"/>
      <c r="H121" s="7"/>
    </row>
    <row r="122" spans="4:8" ht="13.5" customHeight="1">
      <c r="D122" s="7"/>
      <c r="E122" s="7"/>
      <c r="F122" s="7"/>
      <c r="G122" s="7"/>
      <c r="H122" s="7"/>
    </row>
    <row r="123" spans="4:8" ht="13.5" customHeight="1">
      <c r="D123" s="7"/>
      <c r="E123" s="7"/>
      <c r="F123" s="7"/>
      <c r="G123" s="7"/>
      <c r="H123" s="7"/>
    </row>
    <row r="124" spans="4:8" ht="13.5" customHeight="1">
      <c r="D124" s="7"/>
      <c r="E124" s="7"/>
      <c r="F124" s="7"/>
      <c r="G124" s="7"/>
      <c r="H124" s="7"/>
    </row>
    <row r="125" spans="4:8" ht="13.5" customHeight="1">
      <c r="D125" s="7"/>
      <c r="E125" s="7"/>
      <c r="F125" s="7"/>
      <c r="G125" s="7"/>
      <c r="H125" s="7"/>
    </row>
    <row r="126" spans="4:8" ht="13.5" customHeight="1">
      <c r="D126" s="7"/>
      <c r="E126" s="7"/>
      <c r="F126" s="7"/>
      <c r="G126" s="7"/>
      <c r="H126" s="7"/>
    </row>
    <row r="127" spans="4:8" ht="13.5" customHeight="1">
      <c r="D127" s="7"/>
      <c r="E127" s="7"/>
      <c r="F127" s="7"/>
      <c r="G127" s="7"/>
      <c r="H127" s="7"/>
    </row>
    <row r="128" spans="4:8" ht="13.5" customHeight="1">
      <c r="D128" s="7"/>
      <c r="E128" s="7"/>
      <c r="F128" s="7"/>
      <c r="G128" s="7"/>
      <c r="H128" s="7"/>
    </row>
    <row r="129" spans="4:8" ht="13.5" customHeight="1">
      <c r="D129" s="7"/>
      <c r="E129" s="7"/>
      <c r="F129" s="7"/>
      <c r="G129" s="7"/>
      <c r="H129" s="7"/>
    </row>
    <row r="130" spans="4:8" ht="13.5" customHeight="1">
      <c r="D130" s="7"/>
      <c r="E130" s="7"/>
      <c r="F130" s="7"/>
      <c r="G130" s="7"/>
      <c r="H130" s="7"/>
    </row>
    <row r="131" spans="4:8" ht="13.5" customHeight="1">
      <c r="D131" s="7"/>
      <c r="E131" s="7"/>
      <c r="F131" s="7"/>
      <c r="G131" s="7"/>
      <c r="H131" s="7"/>
    </row>
    <row r="132" spans="4:8" ht="13.5" customHeight="1">
      <c r="D132" s="7"/>
      <c r="E132" s="7"/>
      <c r="F132" s="7"/>
      <c r="G132" s="7"/>
      <c r="H132" s="7"/>
    </row>
    <row r="133" spans="4:8" ht="13.5" customHeight="1">
      <c r="D133" s="7"/>
      <c r="E133" s="7"/>
      <c r="F133" s="7"/>
      <c r="G133" s="7"/>
      <c r="H133" s="7"/>
    </row>
    <row r="134" spans="4:8" ht="13.5" customHeight="1">
      <c r="D134" s="7"/>
      <c r="E134" s="7"/>
      <c r="F134" s="7"/>
      <c r="G134" s="7"/>
      <c r="H134" s="7"/>
    </row>
    <row r="135" spans="4:8" ht="13.5" customHeight="1">
      <c r="D135" s="7"/>
      <c r="E135" s="7"/>
      <c r="F135" s="7"/>
      <c r="G135" s="7"/>
      <c r="H135" s="7"/>
    </row>
    <row r="136" spans="4:8" ht="13.5" customHeight="1">
      <c r="D136" s="7"/>
      <c r="E136" s="7"/>
      <c r="F136" s="7"/>
      <c r="G136" s="7"/>
      <c r="H136" s="7"/>
    </row>
    <row r="137" spans="4:8" ht="13.5" customHeight="1">
      <c r="D137" s="7"/>
      <c r="E137" s="7"/>
      <c r="F137" s="7"/>
      <c r="G137" s="7"/>
      <c r="H137" s="7"/>
    </row>
    <row r="138" spans="4:8" ht="13.5" customHeight="1">
      <c r="D138" s="7"/>
      <c r="E138" s="7"/>
      <c r="F138" s="7"/>
      <c r="G138" s="7"/>
      <c r="H138" s="7"/>
    </row>
    <row r="139" spans="4:8" ht="13.5" customHeight="1">
      <c r="D139" s="7"/>
      <c r="E139" s="7"/>
      <c r="F139" s="7"/>
      <c r="G139" s="7"/>
      <c r="H139" s="7"/>
    </row>
    <row r="140" spans="4:8" ht="13.5" customHeight="1">
      <c r="D140" s="7"/>
      <c r="E140" s="7"/>
      <c r="F140" s="7"/>
      <c r="G140" s="7"/>
      <c r="H140" s="7"/>
    </row>
    <row r="141" spans="4:8" ht="13.5" customHeight="1">
      <c r="D141" s="7"/>
      <c r="E141" s="7"/>
      <c r="F141" s="7"/>
      <c r="G141" s="7"/>
      <c r="H141" s="7"/>
    </row>
    <row r="142" spans="4:8" ht="13.5" customHeight="1">
      <c r="D142" s="7"/>
      <c r="E142" s="7"/>
      <c r="F142" s="7"/>
      <c r="G142" s="7"/>
      <c r="H142" s="7"/>
    </row>
    <row r="143" spans="4:8" ht="13.5" customHeight="1">
      <c r="D143" s="7"/>
      <c r="E143" s="7"/>
      <c r="F143" s="7"/>
      <c r="G143" s="7"/>
      <c r="H143" s="7"/>
    </row>
    <row r="144" spans="4:8" ht="13.5" customHeight="1">
      <c r="D144" s="7"/>
      <c r="E144" s="7"/>
      <c r="F144" s="7"/>
      <c r="G144" s="7"/>
      <c r="H144" s="7"/>
    </row>
    <row r="145" spans="4:8" ht="13.5" customHeight="1">
      <c r="D145" s="7"/>
      <c r="E145" s="7"/>
      <c r="F145" s="7"/>
      <c r="G145" s="7"/>
      <c r="H145" s="7"/>
    </row>
    <row r="146" spans="4:8" ht="13.5" customHeight="1">
      <c r="D146" s="7"/>
      <c r="E146" s="7"/>
      <c r="F146" s="7"/>
      <c r="G146" s="7"/>
      <c r="H146" s="7"/>
    </row>
    <row r="147" spans="4:8" ht="13.5" customHeight="1">
      <c r="D147" s="7"/>
      <c r="E147" s="7"/>
      <c r="F147" s="7"/>
      <c r="G147" s="7"/>
      <c r="H147" s="7"/>
    </row>
    <row r="148" spans="4:8" ht="13.5" customHeight="1">
      <c r="D148" s="7"/>
      <c r="E148" s="7"/>
      <c r="F148" s="7"/>
      <c r="G148" s="7"/>
      <c r="H148" s="7"/>
    </row>
    <row r="149" spans="4:8" ht="13.5" customHeight="1">
      <c r="D149" s="7"/>
      <c r="E149" s="7"/>
      <c r="F149" s="7"/>
      <c r="G149" s="7"/>
      <c r="H149" s="7"/>
    </row>
    <row r="150" spans="4:8" ht="13.5" customHeight="1">
      <c r="D150" s="7"/>
      <c r="E150" s="7"/>
      <c r="F150" s="7"/>
      <c r="G150" s="7"/>
      <c r="H150" s="7"/>
    </row>
    <row r="151" spans="4:8" ht="13.5" customHeight="1">
      <c r="D151" s="7"/>
      <c r="E151" s="7"/>
      <c r="F151" s="7"/>
      <c r="G151" s="7"/>
      <c r="H151" s="7"/>
    </row>
    <row r="152" spans="4:8" ht="13.5" customHeight="1">
      <c r="D152" s="7"/>
      <c r="E152" s="7"/>
      <c r="F152" s="7"/>
      <c r="G152" s="7"/>
      <c r="H152" s="7"/>
    </row>
    <row r="153" spans="4:8" ht="13.5" customHeight="1">
      <c r="D153" s="7"/>
      <c r="E153" s="7"/>
      <c r="F153" s="7"/>
      <c r="G153" s="7"/>
      <c r="H153" s="7"/>
    </row>
    <row r="154" spans="4:8" ht="13.5" customHeight="1">
      <c r="D154" s="7"/>
      <c r="E154" s="7"/>
      <c r="F154" s="7"/>
      <c r="G154" s="7"/>
      <c r="H154" s="7"/>
    </row>
    <row r="155" spans="4:8" ht="13.5" customHeight="1">
      <c r="D155" s="7"/>
      <c r="E155" s="7"/>
      <c r="F155" s="7"/>
      <c r="G155" s="7"/>
      <c r="H155" s="7"/>
    </row>
    <row r="156" spans="4:8" ht="13.5" customHeight="1">
      <c r="D156" s="7"/>
      <c r="E156" s="7"/>
      <c r="F156" s="7"/>
      <c r="G156" s="7"/>
      <c r="H156" s="7"/>
    </row>
    <row r="157" spans="4:8" ht="13.5" customHeight="1">
      <c r="D157" s="7"/>
      <c r="E157" s="7"/>
      <c r="F157" s="7"/>
      <c r="G157" s="7"/>
      <c r="H157" s="7"/>
    </row>
    <row r="158" spans="4:8" ht="13.5" customHeight="1">
      <c r="D158" s="7"/>
      <c r="E158" s="7"/>
      <c r="F158" s="7"/>
      <c r="G158" s="7"/>
      <c r="H158" s="7"/>
    </row>
    <row r="159" spans="4:8" ht="13.5" customHeight="1">
      <c r="D159" s="7"/>
      <c r="E159" s="7"/>
      <c r="F159" s="7"/>
      <c r="G159" s="7"/>
      <c r="H159" s="7"/>
    </row>
    <row r="160" spans="4:8" ht="13.5" customHeight="1">
      <c r="D160" s="7"/>
      <c r="E160" s="7"/>
      <c r="F160" s="7"/>
      <c r="G160" s="7"/>
      <c r="H160" s="7"/>
    </row>
    <row r="161" spans="4:8" ht="13.5" customHeight="1">
      <c r="D161" s="7"/>
      <c r="E161" s="7"/>
      <c r="F161" s="7"/>
      <c r="G161" s="7"/>
      <c r="H161" s="7"/>
    </row>
    <row r="162" spans="4:8" ht="13.5" customHeight="1">
      <c r="D162" s="7"/>
      <c r="E162" s="7"/>
      <c r="F162" s="7"/>
      <c r="G162" s="7"/>
      <c r="H162" s="7"/>
    </row>
    <row r="163" spans="4:8" ht="13.5" customHeight="1">
      <c r="D163" s="7"/>
      <c r="E163" s="7"/>
      <c r="F163" s="7"/>
      <c r="G163" s="7"/>
      <c r="H163" s="7"/>
    </row>
    <row r="164" spans="4:8" ht="13.5" customHeight="1">
      <c r="D164" s="7"/>
      <c r="E164" s="7"/>
      <c r="F164" s="7"/>
      <c r="G164" s="7"/>
      <c r="H164" s="7"/>
    </row>
    <row r="165" spans="4:8" ht="13.5" customHeight="1">
      <c r="D165" s="7"/>
      <c r="E165" s="7"/>
      <c r="F165" s="7"/>
      <c r="G165" s="7"/>
      <c r="H165" s="7"/>
    </row>
    <row r="166" spans="4:8" ht="13.5" customHeight="1">
      <c r="D166" s="7"/>
      <c r="E166" s="7"/>
      <c r="F166" s="7"/>
      <c r="G166" s="7"/>
      <c r="H166" s="7"/>
    </row>
    <row r="167" spans="4:8" ht="13.5" customHeight="1">
      <c r="D167" s="7"/>
      <c r="E167" s="7"/>
      <c r="F167" s="7"/>
      <c r="G167" s="7"/>
      <c r="H167" s="7"/>
    </row>
    <row r="168" spans="4:8" ht="13.5" customHeight="1">
      <c r="D168" s="7"/>
      <c r="E168" s="7"/>
      <c r="F168" s="7"/>
      <c r="G168" s="7"/>
      <c r="H168" s="7"/>
    </row>
    <row r="169" spans="4:8" ht="13.5" customHeight="1">
      <c r="D169" s="7"/>
      <c r="E169" s="7"/>
      <c r="F169" s="7"/>
      <c r="G169" s="7"/>
      <c r="H169" s="7"/>
    </row>
    <row r="170" spans="4:8" ht="13.5" customHeight="1">
      <c r="D170" s="7"/>
      <c r="E170" s="7"/>
      <c r="F170" s="7"/>
      <c r="G170" s="7"/>
      <c r="H170" s="7"/>
    </row>
    <row r="171" spans="4:8" ht="13.5" customHeight="1">
      <c r="D171" s="7"/>
      <c r="E171" s="7"/>
      <c r="F171" s="7"/>
      <c r="G171" s="7"/>
      <c r="H171" s="7"/>
    </row>
    <row r="172" spans="4:8" ht="13.5" customHeight="1">
      <c r="D172" s="7"/>
      <c r="E172" s="7"/>
      <c r="F172" s="7"/>
      <c r="G172" s="7"/>
      <c r="H172" s="7"/>
    </row>
    <row r="173" spans="4:8" ht="13.5" customHeight="1">
      <c r="D173" s="7"/>
      <c r="E173" s="7"/>
      <c r="F173" s="7"/>
      <c r="G173" s="7"/>
      <c r="H173" s="7"/>
    </row>
    <row r="174" spans="4:8" ht="13.5" customHeight="1">
      <c r="D174" s="7"/>
      <c r="E174" s="7"/>
      <c r="F174" s="7"/>
      <c r="G174" s="7"/>
      <c r="H174" s="7"/>
    </row>
    <row r="175" spans="4:8" ht="13.5" customHeight="1">
      <c r="D175" s="7"/>
      <c r="E175" s="7"/>
      <c r="F175" s="7"/>
      <c r="G175" s="7"/>
      <c r="H175" s="7"/>
    </row>
    <row r="176" spans="4:8" ht="13.5" customHeight="1">
      <c r="D176" s="7"/>
      <c r="E176" s="7"/>
      <c r="F176" s="7"/>
      <c r="G176" s="7"/>
      <c r="H176" s="7"/>
    </row>
    <row r="177" spans="4:8" ht="13.5" customHeight="1">
      <c r="D177" s="7"/>
      <c r="E177" s="7"/>
      <c r="F177" s="7"/>
      <c r="G177" s="7"/>
      <c r="H177" s="7"/>
    </row>
    <row r="178" spans="4:8" ht="13.5" customHeight="1">
      <c r="D178" s="7"/>
      <c r="E178" s="7"/>
      <c r="F178" s="7"/>
      <c r="G178" s="7"/>
      <c r="H178" s="7"/>
    </row>
    <row r="179" spans="4:8" ht="13.5" customHeight="1">
      <c r="D179" s="7"/>
      <c r="E179" s="7"/>
      <c r="F179" s="7"/>
      <c r="G179" s="7"/>
      <c r="H179" s="7"/>
    </row>
    <row r="180" spans="4:8" ht="13.5" customHeight="1">
      <c r="D180" s="7"/>
      <c r="E180" s="7"/>
      <c r="F180" s="7"/>
      <c r="G180" s="7"/>
      <c r="H180" s="7"/>
    </row>
    <row r="181" spans="4:8" ht="13.5" customHeight="1">
      <c r="D181" s="7"/>
      <c r="E181" s="7"/>
      <c r="F181" s="7"/>
      <c r="G181" s="7"/>
      <c r="H181" s="7"/>
    </row>
    <row r="182" spans="4:8" ht="13.5" customHeight="1">
      <c r="D182" s="7"/>
      <c r="E182" s="7"/>
      <c r="F182" s="7"/>
      <c r="G182" s="7"/>
      <c r="H182" s="7"/>
    </row>
    <row r="183" spans="4:8" ht="13.5" customHeight="1">
      <c r="D183" s="7"/>
      <c r="E183" s="7"/>
      <c r="F183" s="7"/>
      <c r="G183" s="7"/>
      <c r="H183" s="7"/>
    </row>
    <row r="184" spans="4:8" ht="13.5" customHeight="1">
      <c r="D184" s="7"/>
      <c r="E184" s="7"/>
      <c r="F184" s="7"/>
      <c r="G184" s="7"/>
      <c r="H184" s="7"/>
    </row>
    <row r="185" spans="4:8" ht="13.5" customHeight="1">
      <c r="D185" s="7"/>
      <c r="E185" s="7"/>
      <c r="F185" s="7"/>
      <c r="G185" s="7"/>
      <c r="H185" s="7"/>
    </row>
    <row r="186" spans="4:8" ht="13.5" customHeight="1">
      <c r="D186" s="7"/>
      <c r="E186" s="7"/>
      <c r="F186" s="7"/>
      <c r="G186" s="7"/>
      <c r="H186" s="7"/>
    </row>
    <row r="187" spans="4:8" ht="13.5" customHeight="1">
      <c r="D187" s="7"/>
      <c r="E187" s="7"/>
      <c r="F187" s="7"/>
      <c r="G187" s="7"/>
      <c r="H187" s="7"/>
    </row>
    <row r="188" spans="4:8" ht="13.5" customHeight="1">
      <c r="D188" s="7"/>
      <c r="E188" s="7"/>
      <c r="F188" s="7"/>
      <c r="G188" s="7"/>
      <c r="H188" s="7"/>
    </row>
    <row r="189" spans="4:8" ht="13.5" customHeight="1">
      <c r="D189" s="7"/>
      <c r="E189" s="7"/>
      <c r="F189" s="7"/>
      <c r="G189" s="7"/>
      <c r="H189" s="7"/>
    </row>
    <row r="190" spans="4:8" ht="13.5" customHeight="1">
      <c r="D190" s="7"/>
      <c r="E190" s="7"/>
      <c r="F190" s="7"/>
      <c r="G190" s="7"/>
      <c r="H190" s="7"/>
    </row>
    <row r="191" spans="4:8" ht="13.5" customHeight="1">
      <c r="D191" s="7"/>
      <c r="E191" s="7"/>
      <c r="F191" s="7"/>
      <c r="G191" s="7"/>
      <c r="H191" s="7"/>
    </row>
    <row r="192" spans="4:8" ht="13.5" customHeight="1">
      <c r="D192" s="7"/>
      <c r="E192" s="7"/>
      <c r="F192" s="7"/>
      <c r="G192" s="7"/>
      <c r="H192" s="7"/>
    </row>
    <row r="193" spans="4:8" ht="13.5" customHeight="1">
      <c r="D193" s="7"/>
      <c r="E193" s="7"/>
      <c r="F193" s="7"/>
      <c r="G193" s="7"/>
      <c r="H193" s="7"/>
    </row>
    <row r="194" spans="4:8" ht="13.5" customHeight="1">
      <c r="D194" s="7"/>
      <c r="E194" s="7"/>
      <c r="F194" s="7"/>
      <c r="G194" s="7"/>
      <c r="H194" s="7"/>
    </row>
    <row r="195" spans="4:8" ht="13.5" customHeight="1">
      <c r="D195" s="7"/>
      <c r="E195" s="7"/>
      <c r="F195" s="7"/>
      <c r="G195" s="7"/>
      <c r="H195" s="7"/>
    </row>
    <row r="196" spans="4:8" ht="13.5" customHeight="1">
      <c r="D196" s="7"/>
      <c r="E196" s="7"/>
      <c r="F196" s="7"/>
      <c r="G196" s="7"/>
      <c r="H196" s="7"/>
    </row>
    <row r="197" spans="4:8" ht="13.5" customHeight="1">
      <c r="D197" s="7"/>
      <c r="E197" s="7"/>
      <c r="F197" s="7"/>
      <c r="G197" s="7"/>
      <c r="H197" s="7"/>
    </row>
    <row r="198" spans="4:8" ht="13.5" customHeight="1">
      <c r="D198" s="7"/>
      <c r="E198" s="7"/>
      <c r="F198" s="7"/>
      <c r="G198" s="7"/>
      <c r="H198" s="7"/>
    </row>
    <row r="199" spans="4:8" ht="13.5" customHeight="1">
      <c r="D199" s="7"/>
      <c r="E199" s="7"/>
      <c r="F199" s="7"/>
      <c r="G199" s="7"/>
      <c r="H199" s="7"/>
    </row>
    <row r="200" spans="4:8" ht="13.5" customHeight="1">
      <c r="D200" s="7"/>
      <c r="E200" s="7"/>
      <c r="F200" s="7"/>
      <c r="G200" s="7"/>
      <c r="H200" s="7"/>
    </row>
    <row r="201" spans="4:8" ht="13.5" customHeight="1">
      <c r="D201" s="7"/>
      <c r="E201" s="7"/>
      <c r="F201" s="7"/>
      <c r="G201" s="7"/>
      <c r="H201" s="7"/>
    </row>
    <row r="202" spans="4:8" ht="13.5" customHeight="1">
      <c r="D202" s="7"/>
      <c r="E202" s="7"/>
      <c r="F202" s="7"/>
      <c r="G202" s="7"/>
      <c r="H202" s="7"/>
    </row>
    <row r="203" spans="4:8" ht="13.5" customHeight="1">
      <c r="D203" s="7"/>
      <c r="E203" s="7"/>
      <c r="F203" s="7"/>
      <c r="G203" s="7"/>
      <c r="H203" s="7"/>
    </row>
    <row r="204" spans="4:8" ht="13.5" customHeight="1">
      <c r="D204" s="7"/>
      <c r="E204" s="7"/>
      <c r="F204" s="7"/>
      <c r="G204" s="7"/>
      <c r="H204" s="7"/>
    </row>
    <row r="205" spans="4:8" ht="13.5" customHeight="1">
      <c r="D205" s="7"/>
      <c r="E205" s="7"/>
      <c r="F205" s="7"/>
      <c r="G205" s="7"/>
      <c r="H205" s="7"/>
    </row>
    <row r="206" spans="4:8" ht="13.5" customHeight="1">
      <c r="D206" s="7"/>
      <c r="E206" s="7"/>
      <c r="F206" s="7"/>
      <c r="G206" s="7"/>
      <c r="H206" s="7"/>
    </row>
    <row r="207" spans="4:8" ht="13.5" customHeight="1">
      <c r="D207" s="7"/>
      <c r="E207" s="7"/>
      <c r="F207" s="7"/>
      <c r="G207" s="7"/>
      <c r="H207" s="7"/>
    </row>
    <row r="208" spans="4:8" ht="13.5" customHeight="1">
      <c r="D208" s="7"/>
      <c r="E208" s="7"/>
      <c r="F208" s="7"/>
      <c r="G208" s="7"/>
      <c r="H208" s="7"/>
    </row>
    <row r="209" spans="4:8" ht="13.5" customHeight="1">
      <c r="D209" s="7"/>
      <c r="E209" s="7"/>
      <c r="F209" s="7"/>
      <c r="G209" s="7"/>
      <c r="H209" s="7"/>
    </row>
    <row r="210" spans="4:8" ht="13.5" customHeight="1">
      <c r="D210" s="7"/>
      <c r="E210" s="7"/>
      <c r="F210" s="7"/>
      <c r="G210" s="7"/>
      <c r="H210" s="7"/>
    </row>
    <row r="211" spans="4:8" ht="13.5" customHeight="1">
      <c r="D211" s="7"/>
      <c r="E211" s="7"/>
      <c r="F211" s="7"/>
      <c r="G211" s="7"/>
      <c r="H211" s="7"/>
    </row>
    <row r="212" spans="4:8" ht="13.5" customHeight="1">
      <c r="D212" s="7"/>
      <c r="E212" s="7"/>
      <c r="F212" s="7"/>
      <c r="G212" s="7"/>
      <c r="H212" s="7"/>
    </row>
    <row r="213" spans="4:8" ht="13.5" customHeight="1">
      <c r="D213" s="7"/>
      <c r="E213" s="7"/>
      <c r="F213" s="7"/>
      <c r="G213" s="7"/>
      <c r="H213" s="7"/>
    </row>
    <row r="214" spans="4:8" ht="13.5" customHeight="1">
      <c r="D214" s="7"/>
      <c r="E214" s="7"/>
      <c r="F214" s="7"/>
      <c r="G214" s="7"/>
      <c r="H214" s="7"/>
    </row>
    <row r="215" spans="4:8" ht="13.5" customHeight="1">
      <c r="D215" s="7"/>
      <c r="E215" s="7"/>
      <c r="F215" s="7"/>
      <c r="G215" s="7"/>
      <c r="H215" s="7"/>
    </row>
    <row r="216" spans="4:8" ht="13.5" customHeight="1">
      <c r="D216" s="7"/>
      <c r="E216" s="7"/>
      <c r="F216" s="7"/>
      <c r="G216" s="7"/>
      <c r="H216" s="7"/>
    </row>
    <row r="217" spans="4:8" ht="13.5" customHeight="1">
      <c r="D217" s="7"/>
      <c r="E217" s="7"/>
      <c r="F217" s="7"/>
      <c r="G217" s="7"/>
      <c r="H217" s="7"/>
    </row>
    <row r="218" spans="4:8" ht="13.5" customHeight="1">
      <c r="D218" s="7"/>
      <c r="E218" s="7"/>
      <c r="F218" s="7"/>
      <c r="G218" s="7"/>
      <c r="H218" s="7"/>
    </row>
    <row r="219" spans="4:8" ht="13.5" customHeight="1">
      <c r="D219" s="7"/>
      <c r="E219" s="7"/>
      <c r="F219" s="7"/>
      <c r="G219" s="7"/>
      <c r="H219" s="7"/>
    </row>
    <row r="220" spans="4:8" ht="13.5" customHeight="1">
      <c r="D220" s="7"/>
      <c r="E220" s="7"/>
      <c r="F220" s="7"/>
      <c r="G220" s="7"/>
      <c r="H220" s="7"/>
    </row>
    <row r="221" spans="4:8" ht="13.5" customHeight="1">
      <c r="D221" s="7"/>
      <c r="E221" s="7"/>
      <c r="F221" s="7"/>
      <c r="G221" s="7"/>
      <c r="H221" s="7"/>
    </row>
    <row r="222" spans="4:8" ht="13.5" customHeight="1">
      <c r="D222" s="7"/>
      <c r="E222" s="7"/>
      <c r="F222" s="7"/>
      <c r="G222" s="7"/>
      <c r="H222" s="7"/>
    </row>
    <row r="223" spans="4:8" ht="13.5" customHeight="1">
      <c r="D223" s="7"/>
      <c r="E223" s="7"/>
      <c r="F223" s="7"/>
      <c r="G223" s="7"/>
      <c r="H223" s="7"/>
    </row>
    <row r="224" spans="4:8" ht="13.5" customHeight="1">
      <c r="D224" s="7"/>
      <c r="E224" s="7"/>
      <c r="F224" s="7"/>
      <c r="G224" s="7"/>
      <c r="H224" s="7"/>
    </row>
    <row r="225" spans="4:8" ht="13.5" customHeight="1">
      <c r="D225" s="7"/>
      <c r="E225" s="7"/>
      <c r="F225" s="7"/>
      <c r="G225" s="7"/>
      <c r="H225" s="7"/>
    </row>
    <row r="226" spans="4:8" ht="13.5" customHeight="1">
      <c r="D226" s="7"/>
      <c r="E226" s="7"/>
      <c r="F226" s="7"/>
      <c r="G226" s="7"/>
      <c r="H226" s="7"/>
    </row>
    <row r="227" spans="4:8" ht="13.5" customHeight="1">
      <c r="D227" s="7"/>
      <c r="E227" s="7"/>
      <c r="F227" s="7"/>
      <c r="G227" s="7"/>
      <c r="H227" s="7"/>
    </row>
    <row r="228" spans="4:8" ht="13.5" customHeight="1">
      <c r="D228" s="7"/>
      <c r="E228" s="7"/>
      <c r="F228" s="7"/>
      <c r="G228" s="7"/>
      <c r="H228" s="7"/>
    </row>
    <row r="229" spans="4:8" ht="13.5" customHeight="1">
      <c r="D229" s="7"/>
      <c r="E229" s="7"/>
      <c r="F229" s="7"/>
      <c r="G229" s="7"/>
      <c r="H229" s="7"/>
    </row>
    <row r="230" spans="4:8" ht="13.5" customHeight="1">
      <c r="D230" s="7"/>
      <c r="E230" s="7"/>
      <c r="F230" s="7"/>
      <c r="G230" s="7"/>
      <c r="H230" s="7"/>
    </row>
    <row r="231" spans="4:8" ht="13.5" customHeight="1">
      <c r="D231" s="7"/>
      <c r="E231" s="7"/>
      <c r="F231" s="7"/>
      <c r="G231" s="7"/>
      <c r="H231" s="7"/>
    </row>
    <row r="232" spans="4:8" ht="13.5" customHeight="1">
      <c r="D232" s="7"/>
      <c r="E232" s="7"/>
      <c r="F232" s="7"/>
      <c r="G232" s="7"/>
      <c r="H232" s="7"/>
    </row>
    <row r="233" spans="4:8" ht="13.5" customHeight="1">
      <c r="D233" s="7"/>
      <c r="E233" s="7"/>
      <c r="F233" s="7"/>
      <c r="G233" s="7"/>
      <c r="H233" s="7"/>
    </row>
    <row r="234" spans="4:8" ht="13.5" customHeight="1">
      <c r="D234" s="7"/>
      <c r="E234" s="7"/>
      <c r="F234" s="7"/>
      <c r="G234" s="7"/>
      <c r="H234" s="7"/>
    </row>
    <row r="235" spans="4:8" ht="13.5" customHeight="1">
      <c r="D235" s="7"/>
      <c r="E235" s="7"/>
      <c r="F235" s="7"/>
      <c r="G235" s="7"/>
      <c r="H235" s="7"/>
    </row>
    <row r="236" spans="4:8" ht="13.5" customHeight="1">
      <c r="D236" s="7"/>
      <c r="E236" s="7"/>
      <c r="F236" s="7"/>
      <c r="G236" s="7"/>
      <c r="H236" s="7"/>
    </row>
    <row r="237" spans="4:8" ht="13.5" customHeight="1">
      <c r="D237" s="7"/>
      <c r="E237" s="7"/>
      <c r="F237" s="7"/>
      <c r="G237" s="7"/>
      <c r="H237" s="7"/>
    </row>
    <row r="238" spans="4:8" ht="13.5" customHeight="1">
      <c r="D238" s="7"/>
      <c r="E238" s="7"/>
      <c r="F238" s="7"/>
      <c r="G238" s="7"/>
      <c r="H238" s="7"/>
    </row>
    <row r="239" spans="4:8" ht="13.5" customHeight="1">
      <c r="D239" s="7"/>
      <c r="E239" s="7"/>
      <c r="F239" s="7"/>
      <c r="G239" s="7"/>
      <c r="H239" s="7"/>
    </row>
    <row r="240" spans="4:8" ht="13.5" customHeight="1">
      <c r="D240" s="7"/>
      <c r="E240" s="7"/>
      <c r="F240" s="7"/>
      <c r="G240" s="7"/>
      <c r="H240" s="7"/>
    </row>
    <row r="241" spans="4:8" ht="13.5" customHeight="1">
      <c r="D241" s="7"/>
      <c r="E241" s="7"/>
      <c r="F241" s="7"/>
      <c r="G241" s="7"/>
      <c r="H241" s="7"/>
    </row>
    <row r="242" spans="4:8" ht="13.5" customHeight="1">
      <c r="D242" s="7"/>
      <c r="E242" s="7"/>
      <c r="F242" s="7"/>
      <c r="G242" s="7"/>
      <c r="H242" s="7"/>
    </row>
    <row r="243" spans="4:8" ht="13.5" customHeight="1">
      <c r="D243" s="7"/>
      <c r="E243" s="7"/>
      <c r="F243" s="7"/>
      <c r="G243" s="7"/>
      <c r="H243" s="7"/>
    </row>
    <row r="244" spans="4:8" ht="13.5" customHeight="1">
      <c r="D244" s="7"/>
      <c r="E244" s="7"/>
      <c r="F244" s="7"/>
      <c r="G244" s="7"/>
      <c r="H244" s="7"/>
    </row>
    <row r="245" spans="4:8" ht="13.5" customHeight="1">
      <c r="D245" s="7"/>
      <c r="E245" s="7"/>
      <c r="F245" s="7"/>
      <c r="G245" s="7"/>
      <c r="H245" s="7"/>
    </row>
    <row r="246" spans="4:8" ht="13.5" customHeight="1">
      <c r="D246" s="7"/>
      <c r="E246" s="7"/>
      <c r="F246" s="7"/>
      <c r="G246" s="7"/>
      <c r="H246" s="7"/>
    </row>
    <row r="247" spans="4:8" ht="13.5" customHeight="1">
      <c r="D247" s="7"/>
      <c r="E247" s="7"/>
      <c r="F247" s="7"/>
      <c r="G247" s="7"/>
      <c r="H247" s="7"/>
    </row>
    <row r="248" spans="4:8" ht="13.5" customHeight="1">
      <c r="D248" s="7"/>
      <c r="E248" s="7"/>
      <c r="F248" s="7"/>
      <c r="G248" s="7"/>
      <c r="H248" s="7"/>
    </row>
    <row r="249" spans="4:8" ht="13.5" customHeight="1">
      <c r="D249" s="7"/>
      <c r="E249" s="7"/>
      <c r="F249" s="7"/>
      <c r="G249" s="7"/>
      <c r="H249" s="7"/>
    </row>
    <row r="250" spans="4:8" ht="13.5" customHeight="1">
      <c r="D250" s="7"/>
      <c r="E250" s="7"/>
      <c r="F250" s="7"/>
      <c r="G250" s="7"/>
      <c r="H250" s="7"/>
    </row>
    <row r="251" spans="4:8" ht="13.5" customHeight="1">
      <c r="D251" s="7"/>
      <c r="E251" s="7"/>
      <c r="F251" s="7"/>
      <c r="G251" s="7"/>
      <c r="H251" s="7"/>
    </row>
    <row r="252" spans="4:8" ht="13.5" customHeight="1">
      <c r="D252" s="7"/>
      <c r="E252" s="7"/>
      <c r="F252" s="7"/>
      <c r="G252" s="7"/>
      <c r="H252" s="7"/>
    </row>
    <row r="253" spans="4:8" ht="13.5" customHeight="1">
      <c r="D253" s="7"/>
      <c r="E253" s="7"/>
      <c r="F253" s="7"/>
      <c r="G253" s="7"/>
      <c r="H253" s="7"/>
    </row>
    <row r="254" spans="4:8" ht="13.5" customHeight="1">
      <c r="D254" s="7"/>
      <c r="E254" s="7"/>
      <c r="F254" s="7"/>
      <c r="G254" s="7"/>
      <c r="H254" s="7"/>
    </row>
    <row r="255" spans="4:8" ht="13.5" customHeight="1">
      <c r="D255" s="7"/>
      <c r="E255" s="7"/>
      <c r="F255" s="7"/>
      <c r="G255" s="7"/>
      <c r="H255" s="7"/>
    </row>
    <row r="256" spans="4:8" ht="13.5" customHeight="1">
      <c r="D256" s="7"/>
      <c r="E256" s="7"/>
      <c r="F256" s="7"/>
      <c r="G256" s="7"/>
      <c r="H256" s="7"/>
    </row>
    <row r="257" spans="4:8" ht="13.5" customHeight="1">
      <c r="D257" s="7"/>
      <c r="E257" s="7"/>
      <c r="F257" s="7"/>
      <c r="G257" s="7"/>
      <c r="H257" s="7"/>
    </row>
    <row r="258" spans="4:8" ht="13.5" customHeight="1">
      <c r="D258" s="7"/>
      <c r="E258" s="7"/>
      <c r="F258" s="7"/>
      <c r="G258" s="7"/>
      <c r="H258" s="7"/>
    </row>
    <row r="259" spans="4:8" ht="13.5" customHeight="1">
      <c r="D259" s="7"/>
      <c r="E259" s="7"/>
      <c r="F259" s="7"/>
      <c r="G259" s="7"/>
      <c r="H259" s="7"/>
    </row>
    <row r="260" spans="4:8" ht="13.5" customHeight="1">
      <c r="D260" s="7"/>
      <c r="E260" s="7"/>
      <c r="F260" s="7"/>
      <c r="G260" s="7"/>
      <c r="H260" s="7"/>
    </row>
    <row r="261" spans="4:8" ht="13.5" customHeight="1">
      <c r="D261" s="7"/>
      <c r="E261" s="7"/>
      <c r="F261" s="7"/>
      <c r="G261" s="7"/>
      <c r="H261" s="7"/>
    </row>
    <row r="262" spans="4:8" ht="13.5" customHeight="1">
      <c r="D262" s="7"/>
      <c r="E262" s="7"/>
      <c r="F262" s="7"/>
      <c r="G262" s="7"/>
      <c r="H262" s="7"/>
    </row>
    <row r="263" spans="4:8" ht="13.5" customHeight="1">
      <c r="D263" s="7"/>
      <c r="E263" s="7"/>
      <c r="F263" s="7"/>
      <c r="G263" s="7"/>
      <c r="H263" s="7"/>
    </row>
    <row r="264" spans="4:8" ht="13.5" customHeight="1">
      <c r="D264" s="7"/>
      <c r="E264" s="7"/>
      <c r="F264" s="7"/>
      <c r="G264" s="7"/>
      <c r="H264" s="7"/>
    </row>
    <row r="265" spans="4:8" ht="13.5" customHeight="1">
      <c r="D265" s="7"/>
      <c r="E265" s="7"/>
      <c r="F265" s="7"/>
      <c r="G265" s="7"/>
      <c r="H265" s="7"/>
    </row>
    <row r="266" spans="4:8" ht="13.5" customHeight="1">
      <c r="D266" s="7"/>
      <c r="E266" s="7"/>
      <c r="F266" s="7"/>
      <c r="G266" s="7"/>
      <c r="H266" s="7"/>
    </row>
    <row r="267" spans="4:8" ht="13.5" customHeight="1">
      <c r="D267" s="7"/>
      <c r="E267" s="7"/>
      <c r="F267" s="7"/>
      <c r="G267" s="7"/>
      <c r="H267" s="7"/>
    </row>
    <row r="268" spans="4:8" ht="13.5" customHeight="1">
      <c r="D268" s="7"/>
      <c r="E268" s="7"/>
      <c r="F268" s="7"/>
      <c r="G268" s="7"/>
      <c r="H268" s="7"/>
    </row>
    <row r="269" spans="4:8" ht="13.5" customHeight="1">
      <c r="D269" s="7"/>
      <c r="E269" s="7"/>
      <c r="F269" s="7"/>
      <c r="G269" s="7"/>
      <c r="H269" s="7"/>
    </row>
    <row r="270" spans="4:8" ht="13.5" customHeight="1">
      <c r="D270" s="7"/>
      <c r="E270" s="7"/>
      <c r="F270" s="7"/>
      <c r="G270" s="7"/>
      <c r="H270" s="7"/>
    </row>
    <row r="271" spans="4:8" ht="13.5" customHeight="1">
      <c r="D271" s="7"/>
      <c r="E271" s="7"/>
      <c r="F271" s="7"/>
      <c r="G271" s="7"/>
      <c r="H271" s="7"/>
    </row>
    <row r="272" spans="4:8" ht="13.5" customHeight="1">
      <c r="D272" s="7"/>
      <c r="E272" s="7"/>
      <c r="F272" s="7"/>
      <c r="G272" s="7"/>
      <c r="H272" s="7"/>
    </row>
    <row r="273" spans="4:8" ht="13.5" customHeight="1">
      <c r="D273" s="7"/>
      <c r="E273" s="7"/>
      <c r="F273" s="7"/>
      <c r="G273" s="7"/>
      <c r="H273" s="7"/>
    </row>
    <row r="274" spans="4:8" ht="13.5" customHeight="1">
      <c r="D274" s="7"/>
      <c r="E274" s="7"/>
      <c r="F274" s="7"/>
      <c r="G274" s="7"/>
      <c r="H274" s="7"/>
    </row>
    <row r="275" spans="4:8" ht="13.5" customHeight="1">
      <c r="D275" s="7"/>
      <c r="E275" s="7"/>
      <c r="F275" s="7"/>
      <c r="G275" s="7"/>
      <c r="H275" s="7"/>
    </row>
    <row r="276" spans="4:8" ht="13.5" customHeight="1">
      <c r="D276" s="7"/>
      <c r="E276" s="7"/>
      <c r="F276" s="7"/>
      <c r="G276" s="7"/>
      <c r="H276" s="7"/>
    </row>
    <row r="277" spans="4:8" ht="13.5" customHeight="1">
      <c r="D277" s="7"/>
      <c r="E277" s="7"/>
      <c r="F277" s="7"/>
      <c r="G277" s="7"/>
      <c r="H277" s="7"/>
    </row>
    <row r="278" spans="4:8" ht="13.5" customHeight="1">
      <c r="D278" s="7"/>
      <c r="E278" s="7"/>
      <c r="F278" s="7"/>
      <c r="G278" s="7"/>
      <c r="H278" s="7"/>
    </row>
    <row r="279" spans="4:8" ht="13.5" customHeight="1">
      <c r="D279" s="7"/>
      <c r="E279" s="7"/>
      <c r="F279" s="7"/>
      <c r="G279" s="7"/>
      <c r="H279" s="7"/>
    </row>
    <row r="280" spans="4:8" ht="13.5" customHeight="1">
      <c r="D280" s="7"/>
      <c r="E280" s="7"/>
      <c r="F280" s="7"/>
      <c r="G280" s="7"/>
      <c r="H280" s="7"/>
    </row>
    <row r="281" spans="4:8" ht="13.5" customHeight="1">
      <c r="D281" s="7"/>
      <c r="E281" s="7"/>
      <c r="F281" s="7"/>
      <c r="G281" s="7"/>
      <c r="H281" s="7"/>
    </row>
    <row r="282" spans="4:8" ht="13.5" customHeight="1">
      <c r="D282" s="7"/>
      <c r="E282" s="7"/>
      <c r="F282" s="7"/>
      <c r="G282" s="7"/>
      <c r="H282" s="7"/>
    </row>
    <row r="283" spans="4:8" ht="13.5" customHeight="1">
      <c r="D283" s="7"/>
      <c r="E283" s="7"/>
      <c r="F283" s="7"/>
      <c r="G283" s="7"/>
      <c r="H283" s="7"/>
    </row>
    <row r="284" spans="4:8" ht="13.5" customHeight="1">
      <c r="D284" s="7"/>
      <c r="E284" s="7"/>
      <c r="F284" s="7"/>
      <c r="G284" s="7"/>
      <c r="H284" s="7"/>
    </row>
    <row r="285" spans="4:8" ht="13.5" customHeight="1">
      <c r="D285" s="7"/>
      <c r="E285" s="7"/>
      <c r="F285" s="7"/>
      <c r="G285" s="7"/>
      <c r="H285" s="7"/>
    </row>
    <row r="286" spans="4:8" ht="13.5" customHeight="1">
      <c r="D286" s="7"/>
      <c r="E286" s="7"/>
      <c r="F286" s="7"/>
      <c r="G286" s="7"/>
      <c r="H286" s="7"/>
    </row>
    <row r="287" spans="4:8" ht="13.5" customHeight="1">
      <c r="D287" s="7"/>
      <c r="E287" s="7"/>
      <c r="F287" s="7"/>
      <c r="G287" s="7"/>
      <c r="H287" s="7"/>
    </row>
    <row r="288" spans="4:8" ht="13.5" customHeight="1">
      <c r="D288" s="7"/>
      <c r="E288" s="7"/>
      <c r="F288" s="7"/>
      <c r="G288" s="7"/>
      <c r="H288" s="7"/>
    </row>
    <row r="289" spans="4:8" ht="13.5" customHeight="1">
      <c r="D289" s="7"/>
      <c r="E289" s="7"/>
      <c r="F289" s="7"/>
      <c r="G289" s="7"/>
      <c r="H289" s="7"/>
    </row>
    <row r="290" spans="4:8" ht="13.5" customHeight="1">
      <c r="D290" s="7"/>
      <c r="E290" s="7"/>
      <c r="F290" s="7"/>
      <c r="G290" s="7"/>
      <c r="H290" s="7"/>
    </row>
    <row r="291" spans="4:8" ht="13.5" customHeight="1">
      <c r="D291" s="7"/>
      <c r="E291" s="7"/>
      <c r="F291" s="7"/>
      <c r="G291" s="7"/>
      <c r="H291" s="7"/>
    </row>
    <row r="292" spans="4:8" ht="13.5" customHeight="1">
      <c r="D292" s="7"/>
      <c r="E292" s="7"/>
      <c r="F292" s="7"/>
      <c r="G292" s="7"/>
      <c r="H292" s="7"/>
    </row>
    <row r="293" spans="4:8" ht="13.5" customHeight="1">
      <c r="D293" s="7"/>
      <c r="E293" s="7"/>
      <c r="F293" s="7"/>
      <c r="G293" s="7"/>
      <c r="H293" s="7"/>
    </row>
    <row r="294" spans="4:8" ht="13.5" customHeight="1">
      <c r="D294" s="7"/>
      <c r="E294" s="7"/>
      <c r="F294" s="7"/>
      <c r="G294" s="7"/>
      <c r="H294" s="7"/>
    </row>
    <row r="295" spans="4:8" ht="13.5" customHeight="1">
      <c r="D295" s="7"/>
      <c r="E295" s="7"/>
      <c r="F295" s="7"/>
      <c r="G295" s="7"/>
      <c r="H295" s="7"/>
    </row>
    <row r="296" spans="4:8" ht="13.5" customHeight="1">
      <c r="D296" s="7"/>
      <c r="E296" s="7"/>
      <c r="F296" s="7"/>
      <c r="G296" s="7"/>
      <c r="H296" s="7"/>
    </row>
    <row r="297" spans="4:8" ht="13.5" customHeight="1">
      <c r="D297" s="7"/>
      <c r="E297" s="7"/>
      <c r="F297" s="7"/>
      <c r="G297" s="7"/>
      <c r="H297" s="7"/>
    </row>
    <row r="298" spans="4:8" ht="13.5" customHeight="1">
      <c r="D298" s="7"/>
      <c r="E298" s="7"/>
      <c r="F298" s="7"/>
      <c r="G298" s="7"/>
      <c r="H298" s="7"/>
    </row>
    <row r="299" spans="4:8" ht="13.5" customHeight="1">
      <c r="D299" s="7"/>
      <c r="E299" s="7"/>
      <c r="F299" s="7"/>
      <c r="G299" s="7"/>
      <c r="H299" s="7"/>
    </row>
    <row r="300" spans="4:8" ht="13.5" customHeight="1">
      <c r="D300" s="7"/>
      <c r="E300" s="7"/>
      <c r="F300" s="7"/>
      <c r="G300" s="7"/>
      <c r="H300" s="7"/>
    </row>
    <row r="301" spans="4:8" ht="13.5" customHeight="1">
      <c r="D301" s="7"/>
      <c r="E301" s="7"/>
      <c r="F301" s="7"/>
      <c r="G301" s="7"/>
      <c r="H301" s="7"/>
    </row>
    <row r="302" spans="4:8" ht="13.5" customHeight="1">
      <c r="D302" s="7"/>
      <c r="E302" s="7"/>
      <c r="F302" s="7"/>
      <c r="G302" s="7"/>
      <c r="H302" s="7"/>
    </row>
    <row r="303" spans="4:8" ht="13.5" customHeight="1">
      <c r="D303" s="7"/>
      <c r="E303" s="7"/>
      <c r="F303" s="7"/>
      <c r="G303" s="7"/>
      <c r="H303" s="7"/>
    </row>
    <row r="304" spans="4:8" ht="13.5" customHeight="1">
      <c r="D304" s="7"/>
      <c r="E304" s="7"/>
      <c r="F304" s="7"/>
      <c r="G304" s="7"/>
      <c r="H304" s="7"/>
    </row>
    <row r="305" spans="4:8" ht="13.5" customHeight="1">
      <c r="D305" s="7"/>
      <c r="E305" s="7"/>
      <c r="F305" s="7"/>
      <c r="G305" s="7"/>
      <c r="H305" s="7"/>
    </row>
    <row r="306" spans="4:8" ht="13.5" customHeight="1">
      <c r="D306" s="7"/>
      <c r="E306" s="7"/>
      <c r="F306" s="7"/>
      <c r="G306" s="7"/>
      <c r="H306" s="7"/>
    </row>
    <row r="307" spans="4:8" ht="13.5" customHeight="1">
      <c r="D307" s="7"/>
      <c r="E307" s="7"/>
      <c r="F307" s="7"/>
      <c r="G307" s="7"/>
      <c r="H307" s="7"/>
    </row>
    <row r="308" spans="4:8" ht="13.5" customHeight="1">
      <c r="D308" s="7"/>
      <c r="E308" s="7"/>
      <c r="F308" s="7"/>
      <c r="G308" s="7"/>
      <c r="H308" s="7"/>
    </row>
    <row r="309" spans="4:8" ht="13.5" customHeight="1">
      <c r="D309" s="7"/>
      <c r="E309" s="7"/>
      <c r="F309" s="7"/>
      <c r="G309" s="7"/>
      <c r="H309" s="7"/>
    </row>
    <row r="310" spans="4:8" ht="13.5" customHeight="1">
      <c r="D310" s="7"/>
      <c r="E310" s="7"/>
      <c r="F310" s="7"/>
      <c r="G310" s="7"/>
      <c r="H310" s="7"/>
    </row>
    <row r="311" spans="4:8" ht="13.5" customHeight="1">
      <c r="D311" s="7"/>
      <c r="E311" s="7"/>
      <c r="F311" s="7"/>
      <c r="G311" s="7"/>
      <c r="H311" s="7"/>
    </row>
    <row r="312" spans="4:8" ht="13.5" customHeight="1">
      <c r="D312" s="7"/>
      <c r="E312" s="7"/>
      <c r="F312" s="7"/>
      <c r="G312" s="7"/>
      <c r="H312" s="7"/>
    </row>
    <row r="313" spans="4:8" ht="13.5" customHeight="1">
      <c r="D313" s="7"/>
      <c r="E313" s="7"/>
      <c r="F313" s="7"/>
      <c r="G313" s="7"/>
      <c r="H313" s="7"/>
    </row>
    <row r="314" spans="4:8" ht="13.5" customHeight="1">
      <c r="D314" s="7"/>
      <c r="E314" s="7"/>
      <c r="F314" s="7"/>
      <c r="G314" s="7"/>
      <c r="H314" s="7"/>
    </row>
    <row r="315" spans="4:8" ht="13.5" customHeight="1">
      <c r="D315" s="7"/>
      <c r="E315" s="7"/>
      <c r="F315" s="7"/>
      <c r="G315" s="7"/>
      <c r="H315" s="7"/>
    </row>
    <row r="316" spans="4:8" ht="13.5" customHeight="1">
      <c r="D316" s="7"/>
      <c r="E316" s="7"/>
      <c r="F316" s="7"/>
      <c r="G316" s="7"/>
      <c r="H316" s="7"/>
    </row>
    <row r="317" spans="4:8" ht="13.5" customHeight="1">
      <c r="D317" s="7"/>
      <c r="E317" s="7"/>
      <c r="F317" s="7"/>
      <c r="G317" s="7"/>
      <c r="H317" s="7"/>
    </row>
    <row r="318" spans="4:8" ht="13.5" customHeight="1">
      <c r="D318" s="7"/>
      <c r="E318" s="7"/>
      <c r="F318" s="7"/>
      <c r="G318" s="7"/>
      <c r="H318" s="7"/>
    </row>
    <row r="319" spans="4:8" ht="13.5" customHeight="1">
      <c r="D319" s="7"/>
      <c r="E319" s="7"/>
      <c r="F319" s="7"/>
      <c r="G319" s="7"/>
      <c r="H319" s="7"/>
    </row>
    <row r="320" spans="4:8" ht="13.5" customHeight="1">
      <c r="D320" s="7"/>
      <c r="E320" s="7"/>
      <c r="F320" s="7"/>
      <c r="G320" s="7"/>
      <c r="H320" s="7"/>
    </row>
    <row r="321" spans="4:8" ht="13.5" customHeight="1">
      <c r="D321" s="7"/>
      <c r="E321" s="7"/>
      <c r="F321" s="7"/>
      <c r="G321" s="7"/>
      <c r="H321" s="7"/>
    </row>
    <row r="322" spans="4:8" ht="13.5" customHeight="1">
      <c r="D322" s="7"/>
      <c r="E322" s="7"/>
      <c r="F322" s="7"/>
      <c r="G322" s="7"/>
      <c r="H322" s="7"/>
    </row>
    <row r="323" spans="4:8" ht="13.5" customHeight="1">
      <c r="D323" s="7"/>
      <c r="E323" s="7"/>
      <c r="F323" s="7"/>
      <c r="G323" s="7"/>
      <c r="H323" s="7"/>
    </row>
    <row r="324" spans="4:8" ht="13.5" customHeight="1">
      <c r="D324" s="7"/>
      <c r="E324" s="7"/>
      <c r="F324" s="7"/>
      <c r="G324" s="7"/>
      <c r="H324" s="7"/>
    </row>
    <row r="325" spans="4:8" ht="13.5" customHeight="1">
      <c r="D325" s="7"/>
      <c r="E325" s="7"/>
      <c r="F325" s="7"/>
      <c r="G325" s="7"/>
      <c r="H325" s="7"/>
    </row>
    <row r="326" spans="4:8" ht="13.5" customHeight="1">
      <c r="D326" s="7"/>
      <c r="E326" s="7"/>
      <c r="F326" s="7"/>
      <c r="G326" s="7"/>
      <c r="H326" s="7"/>
    </row>
    <row r="327" spans="4:8" ht="13.5" customHeight="1">
      <c r="D327" s="7"/>
      <c r="E327" s="7"/>
      <c r="F327" s="7"/>
      <c r="G327" s="7"/>
      <c r="H327" s="7"/>
    </row>
    <row r="328" spans="4:8" ht="13.5" customHeight="1">
      <c r="D328" s="7"/>
      <c r="E328" s="7"/>
      <c r="F328" s="7"/>
      <c r="G328" s="7"/>
      <c r="H328" s="7"/>
    </row>
    <row r="329" spans="4:8" ht="13.5" customHeight="1">
      <c r="D329" s="7"/>
      <c r="E329" s="7"/>
      <c r="F329" s="7"/>
      <c r="G329" s="7"/>
      <c r="H329" s="7"/>
    </row>
    <row r="330" spans="4:8" ht="13.5" customHeight="1">
      <c r="D330" s="7"/>
      <c r="E330" s="7"/>
      <c r="F330" s="7"/>
      <c r="G330" s="7"/>
      <c r="H330" s="7"/>
    </row>
    <row r="331" spans="4:8" ht="13.5" customHeight="1">
      <c r="D331" s="7"/>
      <c r="E331" s="7"/>
      <c r="F331" s="7"/>
      <c r="G331" s="7"/>
      <c r="H331" s="7"/>
    </row>
    <row r="332" spans="4:8" ht="13.5" customHeight="1">
      <c r="D332" s="7"/>
      <c r="E332" s="7"/>
      <c r="F332" s="7"/>
      <c r="G332" s="7"/>
      <c r="H332" s="7"/>
    </row>
    <row r="333" spans="4:8" ht="13.5" customHeight="1">
      <c r="D333" s="7"/>
      <c r="E333" s="7"/>
      <c r="F333" s="7"/>
      <c r="G333" s="7"/>
      <c r="H333" s="7"/>
    </row>
    <row r="334" spans="4:8" ht="13.5" customHeight="1">
      <c r="D334" s="7"/>
      <c r="E334" s="7"/>
      <c r="F334" s="7"/>
      <c r="G334" s="7"/>
      <c r="H334" s="7"/>
    </row>
    <row r="335" spans="4:8" ht="13.5" customHeight="1">
      <c r="D335" s="7"/>
      <c r="E335" s="7"/>
      <c r="F335" s="7"/>
      <c r="G335" s="7"/>
      <c r="H335" s="7"/>
    </row>
    <row r="336" spans="4:8" ht="13.5" customHeight="1">
      <c r="D336" s="7"/>
      <c r="E336" s="7"/>
      <c r="F336" s="7"/>
      <c r="G336" s="7"/>
      <c r="H336" s="7"/>
    </row>
    <row r="337" spans="4:8" ht="13.5" customHeight="1">
      <c r="D337" s="7"/>
      <c r="E337" s="7"/>
      <c r="F337" s="7"/>
      <c r="G337" s="7"/>
      <c r="H337" s="7"/>
    </row>
    <row r="338" spans="4:8" ht="13.5" customHeight="1">
      <c r="D338" s="7"/>
      <c r="E338" s="7"/>
      <c r="F338" s="7"/>
      <c r="G338" s="7"/>
      <c r="H338" s="7"/>
    </row>
    <row r="339" spans="4:8" ht="13.5" customHeight="1">
      <c r="D339" s="7"/>
      <c r="E339" s="7"/>
      <c r="F339" s="7"/>
      <c r="G339" s="7"/>
      <c r="H339" s="7"/>
    </row>
    <row r="340" spans="4:8" ht="13.5" customHeight="1">
      <c r="D340" s="7"/>
      <c r="E340" s="7"/>
      <c r="F340" s="7"/>
      <c r="G340" s="7"/>
      <c r="H340" s="7"/>
    </row>
    <row r="341" spans="4:8" ht="13.5" customHeight="1">
      <c r="D341" s="7"/>
      <c r="E341" s="7"/>
      <c r="F341" s="7"/>
      <c r="G341" s="7"/>
      <c r="H341" s="7"/>
    </row>
    <row r="342" spans="4:8" ht="13.5" customHeight="1">
      <c r="D342" s="7"/>
      <c r="E342" s="7"/>
      <c r="F342" s="7"/>
      <c r="G342" s="7"/>
      <c r="H342" s="7"/>
    </row>
    <row r="343" spans="4:8" ht="13.5" customHeight="1">
      <c r="D343" s="7"/>
      <c r="E343" s="7"/>
      <c r="F343" s="7"/>
      <c r="G343" s="7"/>
      <c r="H343" s="7"/>
    </row>
    <row r="344" spans="4:8" ht="13.5" customHeight="1">
      <c r="D344" s="7"/>
      <c r="E344" s="7"/>
      <c r="F344" s="7"/>
      <c r="G344" s="7"/>
      <c r="H344" s="7"/>
    </row>
    <row r="345" spans="4:8" ht="13.5" customHeight="1">
      <c r="D345" s="7"/>
      <c r="E345" s="7"/>
      <c r="F345" s="7"/>
      <c r="G345" s="7"/>
      <c r="H345" s="7"/>
    </row>
    <row r="346" spans="4:8" ht="13.5" customHeight="1">
      <c r="D346" s="7"/>
      <c r="E346" s="7"/>
      <c r="F346" s="7"/>
      <c r="G346" s="7"/>
      <c r="H346" s="7"/>
    </row>
    <row r="347" spans="4:8" ht="13.5" customHeight="1">
      <c r="D347" s="7"/>
      <c r="E347" s="7"/>
      <c r="F347" s="7"/>
      <c r="G347" s="7"/>
      <c r="H347" s="7"/>
    </row>
    <row r="348" spans="4:8" ht="13.5" customHeight="1">
      <c r="D348" s="7"/>
      <c r="E348" s="7"/>
      <c r="F348" s="7"/>
      <c r="G348" s="7"/>
      <c r="H348" s="7"/>
    </row>
    <row r="349" spans="4:8" ht="13.5" customHeight="1">
      <c r="D349" s="7"/>
      <c r="E349" s="7"/>
      <c r="F349" s="7"/>
      <c r="G349" s="7"/>
      <c r="H349" s="7"/>
    </row>
    <row r="350" spans="4:8" ht="13.5" customHeight="1">
      <c r="D350" s="7"/>
      <c r="E350" s="7"/>
      <c r="F350" s="7"/>
      <c r="G350" s="7"/>
      <c r="H350" s="7"/>
    </row>
    <row r="351" spans="4:8" ht="13.5" customHeight="1">
      <c r="D351" s="7"/>
      <c r="E351" s="7"/>
      <c r="F351" s="7"/>
      <c r="G351" s="7"/>
      <c r="H351" s="7"/>
    </row>
    <row r="352" spans="4:8" ht="13.5" customHeight="1">
      <c r="D352" s="7"/>
      <c r="E352" s="7"/>
      <c r="F352" s="7"/>
      <c r="G352" s="7"/>
      <c r="H352" s="7"/>
    </row>
    <row r="353" spans="4:8" ht="13.5" customHeight="1">
      <c r="D353" s="7"/>
      <c r="E353" s="7"/>
      <c r="F353" s="7"/>
      <c r="G353" s="7"/>
      <c r="H353" s="7"/>
    </row>
    <row r="354" spans="4:8" ht="13.5" customHeight="1">
      <c r="D354" s="7"/>
      <c r="E354" s="7"/>
      <c r="F354" s="7"/>
      <c r="G354" s="7"/>
      <c r="H354" s="7"/>
    </row>
    <row r="355" spans="4:8" ht="13.5" customHeight="1">
      <c r="D355" s="7"/>
      <c r="E355" s="7"/>
      <c r="F355" s="7"/>
      <c r="G355" s="7"/>
      <c r="H355" s="7"/>
    </row>
    <row r="356" spans="4:8" ht="13.5" customHeight="1">
      <c r="D356" s="7"/>
      <c r="E356" s="7"/>
      <c r="F356" s="7"/>
      <c r="G356" s="7"/>
      <c r="H356" s="7"/>
    </row>
    <row r="357" spans="4:8" ht="13.5" customHeight="1">
      <c r="D357" s="7"/>
      <c r="E357" s="7"/>
      <c r="F357" s="7"/>
      <c r="G357" s="7"/>
      <c r="H357" s="7"/>
    </row>
    <row r="358" spans="4:8" ht="13.5" customHeight="1">
      <c r="D358" s="7"/>
      <c r="E358" s="7"/>
      <c r="F358" s="7"/>
      <c r="G358" s="7"/>
      <c r="H358" s="7"/>
    </row>
    <row r="359" spans="4:8" ht="13.5" customHeight="1">
      <c r="D359" s="7"/>
      <c r="E359" s="7"/>
      <c r="F359" s="7"/>
      <c r="G359" s="7"/>
      <c r="H359" s="7"/>
    </row>
    <row r="360" spans="4:8" ht="13.5" customHeight="1">
      <c r="D360" s="7"/>
      <c r="E360" s="7"/>
      <c r="F360" s="7"/>
      <c r="G360" s="7"/>
      <c r="H360" s="7"/>
    </row>
    <row r="361" spans="4:8" ht="13.5" customHeight="1">
      <c r="D361" s="7"/>
      <c r="E361" s="7"/>
      <c r="F361" s="7"/>
      <c r="G361" s="7"/>
      <c r="H361" s="7"/>
    </row>
    <row r="362" spans="4:8" ht="13.5" customHeight="1">
      <c r="D362" s="7"/>
      <c r="E362" s="7"/>
      <c r="F362" s="7"/>
      <c r="G362" s="7"/>
      <c r="H362" s="7"/>
    </row>
    <row r="363" spans="4:8" ht="13.5" customHeight="1">
      <c r="D363" s="7"/>
      <c r="E363" s="7"/>
      <c r="F363" s="7"/>
      <c r="G363" s="7"/>
      <c r="H363" s="7"/>
    </row>
    <row r="364" spans="4:8" ht="13.5" customHeight="1">
      <c r="D364" s="7"/>
      <c r="E364" s="7"/>
      <c r="F364" s="7"/>
      <c r="G364" s="7"/>
      <c r="H364" s="7"/>
    </row>
    <row r="365" spans="4:8" ht="13.5" customHeight="1">
      <c r="D365" s="7"/>
      <c r="E365" s="7"/>
      <c r="F365" s="7"/>
      <c r="G365" s="7"/>
      <c r="H365" s="7"/>
    </row>
    <row r="366" spans="4:8" ht="13.5" customHeight="1">
      <c r="D366" s="7"/>
      <c r="E366" s="7"/>
      <c r="F366" s="7"/>
      <c r="G366" s="7"/>
      <c r="H366" s="7"/>
    </row>
    <row r="367" spans="4:8" ht="13.5" customHeight="1">
      <c r="D367" s="7"/>
      <c r="E367" s="7"/>
      <c r="F367" s="7"/>
      <c r="G367" s="7"/>
      <c r="H367" s="7"/>
    </row>
    <row r="368" spans="4:8" ht="13.5" customHeight="1">
      <c r="D368" s="7"/>
      <c r="E368" s="7"/>
      <c r="F368" s="7"/>
      <c r="G368" s="7"/>
      <c r="H368" s="7"/>
    </row>
    <row r="369" spans="4:8" ht="13.5" customHeight="1">
      <c r="D369" s="7"/>
      <c r="E369" s="7"/>
      <c r="F369" s="7"/>
      <c r="G369" s="7"/>
      <c r="H369" s="7"/>
    </row>
    <row r="370" spans="4:8" ht="13.5" customHeight="1">
      <c r="D370" s="7"/>
      <c r="E370" s="7"/>
      <c r="F370" s="7"/>
      <c r="G370" s="7"/>
      <c r="H370" s="7"/>
    </row>
    <row r="371" spans="4:8" ht="13.5" customHeight="1">
      <c r="D371" s="7"/>
      <c r="E371" s="7"/>
      <c r="F371" s="7"/>
      <c r="G371" s="7"/>
      <c r="H371" s="7"/>
    </row>
    <row r="372" spans="4:8" ht="13.5" customHeight="1">
      <c r="D372" s="7"/>
      <c r="E372" s="7"/>
      <c r="F372" s="7"/>
      <c r="G372" s="7"/>
      <c r="H372" s="7"/>
    </row>
    <row r="373" spans="4:8" ht="13.5" customHeight="1">
      <c r="D373" s="7"/>
      <c r="E373" s="7"/>
      <c r="F373" s="7"/>
      <c r="G373" s="7"/>
      <c r="H373" s="7"/>
    </row>
    <row r="374" spans="4:8" ht="13.5" customHeight="1">
      <c r="D374" s="7"/>
      <c r="E374" s="7"/>
      <c r="F374" s="7"/>
      <c r="G374" s="7"/>
      <c r="H374" s="7"/>
    </row>
    <row r="375" spans="4:8" ht="13.5" customHeight="1">
      <c r="D375" s="7"/>
      <c r="E375" s="7"/>
      <c r="F375" s="7"/>
      <c r="G375" s="7"/>
      <c r="H375" s="7"/>
    </row>
    <row r="376" spans="4:8" ht="13.5" customHeight="1">
      <c r="D376" s="7"/>
      <c r="E376" s="7"/>
      <c r="F376" s="7"/>
      <c r="G376" s="7"/>
      <c r="H376" s="7"/>
    </row>
    <row r="377" spans="4:8" ht="13.5" customHeight="1">
      <c r="D377" s="7"/>
      <c r="E377" s="7"/>
      <c r="F377" s="7"/>
      <c r="G377" s="7"/>
      <c r="H377" s="7"/>
    </row>
    <row r="378" spans="4:8" ht="13.5" customHeight="1">
      <c r="D378" s="7"/>
      <c r="E378" s="7"/>
      <c r="F378" s="7"/>
      <c r="G378" s="7"/>
      <c r="H378" s="7"/>
    </row>
    <row r="379" spans="4:8" ht="13.5" customHeight="1">
      <c r="D379" s="7"/>
      <c r="E379" s="7"/>
      <c r="F379" s="7"/>
      <c r="G379" s="7"/>
      <c r="H379" s="7"/>
    </row>
    <row r="380" spans="4:8" ht="13.5" customHeight="1">
      <c r="D380" s="7"/>
      <c r="E380" s="7"/>
      <c r="F380" s="7"/>
      <c r="G380" s="7"/>
      <c r="H380" s="7"/>
    </row>
    <row r="381" spans="4:8" ht="13.5" customHeight="1">
      <c r="D381" s="7"/>
      <c r="E381" s="7"/>
      <c r="F381" s="7"/>
      <c r="G381" s="7"/>
      <c r="H381" s="7"/>
    </row>
    <row r="382" spans="4:8" ht="13.5" customHeight="1">
      <c r="D382" s="7"/>
      <c r="E382" s="7"/>
      <c r="F382" s="7"/>
      <c r="G382" s="7"/>
      <c r="H382" s="7"/>
    </row>
    <row r="383" spans="4:8" ht="13.5" customHeight="1">
      <c r="D383" s="7"/>
      <c r="E383" s="7"/>
      <c r="F383" s="7"/>
      <c r="G383" s="7"/>
      <c r="H383" s="7"/>
    </row>
    <row r="384" spans="4:8" ht="13.5" customHeight="1">
      <c r="D384" s="7"/>
      <c r="E384" s="7"/>
      <c r="F384" s="7"/>
      <c r="G384" s="7"/>
      <c r="H384" s="7"/>
    </row>
    <row r="385" spans="4:8" ht="13.5" customHeight="1">
      <c r="D385" s="7"/>
      <c r="E385" s="7"/>
      <c r="F385" s="7"/>
      <c r="G385" s="7"/>
      <c r="H385" s="7"/>
    </row>
    <row r="386" spans="4:8" ht="13.5" customHeight="1">
      <c r="D386" s="7"/>
      <c r="E386" s="7"/>
      <c r="F386" s="7"/>
      <c r="G386" s="7"/>
      <c r="H386" s="7"/>
    </row>
    <row r="387" spans="4:8" ht="13.5" customHeight="1">
      <c r="D387" s="7"/>
      <c r="E387" s="7"/>
      <c r="F387" s="7"/>
      <c r="G387" s="7"/>
      <c r="H387" s="7"/>
    </row>
    <row r="388" spans="4:8" ht="13.5" customHeight="1">
      <c r="D388" s="7"/>
      <c r="E388" s="7"/>
      <c r="F388" s="7"/>
      <c r="G388" s="7"/>
      <c r="H388" s="7"/>
    </row>
    <row r="389" spans="4:8" ht="13.5" customHeight="1">
      <c r="D389" s="7"/>
      <c r="E389" s="7"/>
      <c r="F389" s="7"/>
      <c r="G389" s="7"/>
      <c r="H389" s="7"/>
    </row>
    <row r="390" spans="4:8" ht="13.5" customHeight="1">
      <c r="D390" s="7"/>
      <c r="E390" s="7"/>
      <c r="F390" s="7"/>
      <c r="G390" s="7"/>
      <c r="H390" s="7"/>
    </row>
    <row r="391" spans="4:8" ht="13.5" customHeight="1">
      <c r="D391" s="7"/>
      <c r="E391" s="7"/>
      <c r="F391" s="7"/>
      <c r="G391" s="7"/>
      <c r="H391" s="7"/>
    </row>
    <row r="392" spans="4:8" ht="13.5" customHeight="1">
      <c r="D392" s="7"/>
      <c r="E392" s="7"/>
      <c r="F392" s="7"/>
      <c r="G392" s="7"/>
      <c r="H392" s="7"/>
    </row>
    <row r="393" spans="4:8" ht="13.5" customHeight="1">
      <c r="D393" s="7"/>
      <c r="E393" s="7"/>
      <c r="F393" s="7"/>
      <c r="G393" s="7"/>
      <c r="H393" s="7"/>
    </row>
    <row r="394" spans="4:8" ht="13.5" customHeight="1">
      <c r="D394" s="7"/>
      <c r="E394" s="7"/>
      <c r="F394" s="7"/>
      <c r="G394" s="7"/>
      <c r="H394" s="7"/>
    </row>
    <row r="395" spans="4:8" ht="13.5" customHeight="1">
      <c r="D395" s="7"/>
      <c r="E395" s="7"/>
      <c r="F395" s="7"/>
      <c r="G395" s="7"/>
      <c r="H395" s="7"/>
    </row>
    <row r="396" spans="4:8" ht="13.5" customHeight="1">
      <c r="D396" s="7"/>
      <c r="E396" s="7"/>
      <c r="F396" s="7"/>
      <c r="G396" s="7"/>
      <c r="H396" s="7"/>
    </row>
    <row r="397" spans="4:8" ht="13.5" customHeight="1">
      <c r="D397" s="7"/>
      <c r="E397" s="7"/>
      <c r="F397" s="7"/>
      <c r="G397" s="7"/>
      <c r="H397" s="7"/>
    </row>
    <row r="398" spans="4:8" ht="13.5" customHeight="1">
      <c r="D398" s="7"/>
      <c r="E398" s="7"/>
      <c r="F398" s="7"/>
      <c r="G398" s="7"/>
      <c r="H398" s="7"/>
    </row>
    <row r="399" spans="4:8" ht="13.5" customHeight="1">
      <c r="D399" s="7"/>
      <c r="E399" s="7"/>
      <c r="F399" s="7"/>
      <c r="G399" s="7"/>
      <c r="H399" s="7"/>
    </row>
    <row r="400" spans="4:8" ht="13.5" customHeight="1">
      <c r="D400" s="7"/>
      <c r="E400" s="7"/>
      <c r="F400" s="7"/>
      <c r="G400" s="7"/>
      <c r="H400" s="7"/>
    </row>
    <row r="401" spans="4:8" ht="13.5" customHeight="1">
      <c r="D401" s="7"/>
      <c r="E401" s="7"/>
      <c r="F401" s="7"/>
      <c r="G401" s="7"/>
      <c r="H401" s="7"/>
    </row>
    <row r="402" spans="4:8" ht="13.5" customHeight="1">
      <c r="D402" s="7"/>
      <c r="E402" s="7"/>
      <c r="F402" s="7"/>
      <c r="G402" s="7"/>
      <c r="H402" s="7"/>
    </row>
    <row r="403" spans="4:8" ht="13.5" customHeight="1">
      <c r="D403" s="7"/>
      <c r="E403" s="7"/>
      <c r="F403" s="7"/>
      <c r="G403" s="7"/>
      <c r="H403" s="7"/>
    </row>
    <row r="404" spans="4:8" ht="13.5" customHeight="1">
      <c r="D404" s="7"/>
      <c r="E404" s="7"/>
      <c r="F404" s="7"/>
      <c r="G404" s="7"/>
      <c r="H404" s="7"/>
    </row>
    <row r="405" spans="4:8" ht="13.5" customHeight="1">
      <c r="D405" s="7"/>
      <c r="E405" s="7"/>
      <c r="F405" s="7"/>
      <c r="G405" s="7"/>
      <c r="H405" s="7"/>
    </row>
    <row r="406" spans="4:8" ht="13.5" customHeight="1">
      <c r="D406" s="7"/>
      <c r="E406" s="7"/>
      <c r="F406" s="7"/>
      <c r="G406" s="7"/>
      <c r="H406" s="7"/>
    </row>
    <row r="407" spans="4:8" ht="13.5" customHeight="1">
      <c r="D407" s="7"/>
      <c r="E407" s="7"/>
      <c r="F407" s="7"/>
      <c r="G407" s="7"/>
      <c r="H407" s="7"/>
    </row>
    <row r="408" spans="4:8" ht="13.5" customHeight="1">
      <c r="D408" s="7"/>
      <c r="E408" s="7"/>
      <c r="F408" s="7"/>
      <c r="G408" s="7"/>
      <c r="H408" s="7"/>
    </row>
    <row r="409" spans="4:8" ht="13.5" customHeight="1">
      <c r="D409" s="7"/>
      <c r="E409" s="7"/>
      <c r="F409" s="7"/>
      <c r="G409" s="7"/>
      <c r="H409" s="7"/>
    </row>
    <row r="410" spans="4:8" ht="13.5" customHeight="1">
      <c r="D410" s="7"/>
      <c r="E410" s="7"/>
      <c r="F410" s="7"/>
      <c r="G410" s="7"/>
      <c r="H410" s="7"/>
    </row>
    <row r="411" spans="4:8" ht="13.5" customHeight="1">
      <c r="D411" s="7"/>
      <c r="E411" s="7"/>
      <c r="F411" s="7"/>
      <c r="G411" s="7"/>
      <c r="H411" s="7"/>
    </row>
    <row r="412" spans="4:8" ht="13.5" customHeight="1">
      <c r="D412" s="7"/>
      <c r="E412" s="7"/>
      <c r="F412" s="7"/>
      <c r="G412" s="7"/>
      <c r="H412" s="7"/>
    </row>
    <row r="413" spans="4:8" ht="13.5" customHeight="1">
      <c r="D413" s="7"/>
      <c r="E413" s="7"/>
      <c r="F413" s="7"/>
      <c r="G413" s="7"/>
      <c r="H413" s="7"/>
    </row>
    <row r="414" spans="4:8" ht="13.5" customHeight="1">
      <c r="D414" s="7"/>
      <c r="E414" s="7"/>
      <c r="F414" s="7"/>
      <c r="G414" s="7"/>
      <c r="H414" s="7"/>
    </row>
    <row r="415" spans="4:8" ht="13.5" customHeight="1">
      <c r="D415" s="7"/>
      <c r="E415" s="7"/>
      <c r="F415" s="7"/>
      <c r="G415" s="7"/>
      <c r="H415" s="7"/>
    </row>
    <row r="416" spans="4:8" ht="13.5" customHeight="1">
      <c r="D416" s="7"/>
      <c r="E416" s="7"/>
      <c r="F416" s="7"/>
      <c r="G416" s="7"/>
      <c r="H416" s="7"/>
    </row>
    <row r="417" spans="4:8" ht="13.5" customHeight="1">
      <c r="D417" s="7"/>
      <c r="E417" s="7"/>
      <c r="F417" s="7"/>
      <c r="G417" s="7"/>
      <c r="H417" s="7"/>
    </row>
    <row r="418" spans="4:8" ht="13.5" customHeight="1">
      <c r="D418" s="7"/>
      <c r="E418" s="7"/>
      <c r="F418" s="7"/>
      <c r="G418" s="7"/>
      <c r="H418" s="7"/>
    </row>
    <row r="419" spans="4:8" ht="13.5" customHeight="1">
      <c r="D419" s="7"/>
      <c r="E419" s="7"/>
      <c r="F419" s="7"/>
      <c r="G419" s="7"/>
      <c r="H419" s="7"/>
    </row>
    <row r="420" spans="4:8" ht="13.5" customHeight="1">
      <c r="D420" s="7"/>
      <c r="E420" s="7"/>
      <c r="F420" s="7"/>
      <c r="G420" s="7"/>
      <c r="H420" s="7"/>
    </row>
    <row r="421" spans="4:8" ht="13.5" customHeight="1">
      <c r="D421" s="7"/>
      <c r="E421" s="7"/>
      <c r="F421" s="7"/>
      <c r="G421" s="7"/>
      <c r="H421" s="7"/>
    </row>
    <row r="422" spans="4:8" ht="13.5" customHeight="1">
      <c r="D422" s="7"/>
      <c r="E422" s="7"/>
      <c r="F422" s="7"/>
      <c r="G422" s="7"/>
      <c r="H422" s="7"/>
    </row>
    <row r="423" spans="4:8" ht="13.5" customHeight="1">
      <c r="D423" s="7"/>
      <c r="E423" s="7"/>
      <c r="F423" s="7"/>
      <c r="G423" s="7"/>
      <c r="H423" s="7"/>
    </row>
    <row r="424" spans="4:8" ht="13.5" customHeight="1">
      <c r="D424" s="7"/>
      <c r="E424" s="7"/>
      <c r="F424" s="7"/>
      <c r="G424" s="7"/>
      <c r="H424" s="7"/>
    </row>
    <row r="425" spans="4:8" ht="13.5" customHeight="1">
      <c r="D425" s="7"/>
      <c r="E425" s="7"/>
      <c r="F425" s="7"/>
      <c r="G425" s="7"/>
      <c r="H425" s="7"/>
    </row>
    <row r="426" spans="4:8" ht="13.5" customHeight="1">
      <c r="D426" s="7"/>
      <c r="E426" s="7"/>
      <c r="F426" s="7"/>
      <c r="G426" s="7"/>
      <c r="H426" s="7"/>
    </row>
    <row r="427" spans="4:8" ht="13.5" customHeight="1">
      <c r="D427" s="7"/>
      <c r="E427" s="7"/>
      <c r="F427" s="7"/>
      <c r="G427" s="7"/>
      <c r="H427" s="7"/>
    </row>
    <row r="428" spans="4:8" ht="13.5" customHeight="1">
      <c r="D428" s="7"/>
      <c r="E428" s="7"/>
      <c r="F428" s="7"/>
      <c r="G428" s="7"/>
      <c r="H428" s="7"/>
    </row>
    <row r="429" spans="4:8" ht="13.5" customHeight="1">
      <c r="D429" s="7"/>
      <c r="E429" s="7"/>
      <c r="F429" s="7"/>
      <c r="G429" s="7"/>
      <c r="H429" s="7"/>
    </row>
    <row r="430" spans="4:8" ht="13.5" customHeight="1">
      <c r="D430" s="7"/>
      <c r="E430" s="7"/>
      <c r="F430" s="7"/>
      <c r="G430" s="7"/>
      <c r="H430" s="7"/>
    </row>
    <row r="431" spans="4:8" ht="13.5" customHeight="1">
      <c r="D431" s="7"/>
      <c r="E431" s="7"/>
      <c r="F431" s="7"/>
      <c r="G431" s="7"/>
      <c r="H431" s="7"/>
    </row>
    <row r="432" spans="4:8" ht="13.5" customHeight="1">
      <c r="D432" s="7"/>
      <c r="E432" s="7"/>
      <c r="F432" s="7"/>
      <c r="G432" s="7"/>
      <c r="H432" s="7"/>
    </row>
    <row r="433" spans="4:8" ht="13.5" customHeight="1">
      <c r="D433" s="7"/>
      <c r="E433" s="7"/>
      <c r="F433" s="7"/>
      <c r="G433" s="7"/>
      <c r="H433" s="7"/>
    </row>
    <row r="434" spans="4:8" ht="13.5" customHeight="1">
      <c r="D434" s="7"/>
      <c r="E434" s="7"/>
      <c r="F434" s="7"/>
      <c r="G434" s="7"/>
      <c r="H434" s="7"/>
    </row>
    <row r="435" spans="4:8" ht="13.5" customHeight="1">
      <c r="D435" s="7"/>
      <c r="E435" s="7"/>
      <c r="F435" s="7"/>
      <c r="G435" s="7"/>
      <c r="H435" s="7"/>
    </row>
    <row r="436" spans="4:8" ht="13.5" customHeight="1">
      <c r="D436" s="7"/>
      <c r="E436" s="7"/>
      <c r="F436" s="7"/>
      <c r="G436" s="7"/>
      <c r="H436" s="7"/>
    </row>
    <row r="437" spans="4:8" ht="13.5" customHeight="1">
      <c r="D437" s="7"/>
      <c r="E437" s="7"/>
      <c r="F437" s="7"/>
      <c r="G437" s="7"/>
      <c r="H437" s="7"/>
    </row>
    <row r="438" spans="4:8" ht="13.5" customHeight="1">
      <c r="D438" s="7"/>
      <c r="E438" s="7"/>
      <c r="F438" s="7"/>
      <c r="G438" s="7"/>
      <c r="H438" s="7"/>
    </row>
    <row r="439" spans="4:8" ht="13.5" customHeight="1">
      <c r="D439" s="7"/>
      <c r="E439" s="7"/>
      <c r="F439" s="7"/>
      <c r="G439" s="7"/>
      <c r="H439" s="7"/>
    </row>
    <row r="440" spans="4:8" ht="13.5" customHeight="1">
      <c r="D440" s="7"/>
      <c r="E440" s="7"/>
      <c r="F440" s="7"/>
      <c r="G440" s="7"/>
      <c r="H440" s="7"/>
    </row>
    <row r="441" spans="4:8" ht="13.5" customHeight="1">
      <c r="D441" s="7"/>
      <c r="E441" s="7"/>
      <c r="F441" s="7"/>
      <c r="G441" s="7"/>
      <c r="H441" s="7"/>
    </row>
    <row r="442" spans="4:8" ht="13.5" customHeight="1">
      <c r="D442" s="7"/>
      <c r="E442" s="7"/>
      <c r="F442" s="7"/>
      <c r="G442" s="7"/>
      <c r="H442" s="7"/>
    </row>
    <row r="443" spans="4:8" ht="13.5" customHeight="1">
      <c r="D443" s="7"/>
      <c r="E443" s="7"/>
      <c r="F443" s="7"/>
      <c r="G443" s="7"/>
      <c r="H443" s="7"/>
    </row>
    <row r="444" spans="4:8" ht="13.5" customHeight="1">
      <c r="D444" s="7"/>
      <c r="E444" s="7"/>
      <c r="F444" s="7"/>
      <c r="G444" s="7"/>
      <c r="H444" s="7"/>
    </row>
    <row r="445" spans="4:8" ht="13.5" customHeight="1">
      <c r="D445" s="7"/>
      <c r="E445" s="7"/>
      <c r="F445" s="7"/>
      <c r="G445" s="7"/>
      <c r="H445" s="7"/>
    </row>
    <row r="446" spans="4:8" ht="13.5" customHeight="1">
      <c r="D446" s="7"/>
      <c r="E446" s="7"/>
      <c r="F446" s="7"/>
      <c r="G446" s="7"/>
      <c r="H446" s="7"/>
    </row>
    <row r="447" spans="4:8" ht="13.5" customHeight="1">
      <c r="D447" s="7"/>
      <c r="E447" s="7"/>
      <c r="F447" s="7"/>
      <c r="G447" s="7"/>
      <c r="H447" s="7"/>
    </row>
    <row r="448" spans="4:8" ht="13.5" customHeight="1">
      <c r="D448" s="7"/>
      <c r="E448" s="7"/>
      <c r="F448" s="7"/>
      <c r="G448" s="7"/>
      <c r="H448" s="7"/>
    </row>
    <row r="449" spans="4:8" ht="13.5" customHeight="1">
      <c r="D449" s="7"/>
      <c r="E449" s="7"/>
      <c r="F449" s="7"/>
      <c r="G449" s="7"/>
      <c r="H449" s="7"/>
    </row>
    <row r="450" spans="4:8" ht="13.5" customHeight="1">
      <c r="D450" s="7"/>
      <c r="E450" s="7"/>
      <c r="F450" s="7"/>
      <c r="G450" s="7"/>
      <c r="H450" s="7"/>
    </row>
    <row r="451" spans="4:8" ht="13.5" customHeight="1">
      <c r="D451" s="7"/>
      <c r="E451" s="7"/>
      <c r="F451" s="7"/>
      <c r="G451" s="7"/>
      <c r="H451" s="7"/>
    </row>
    <row r="452" spans="4:8" ht="13.5" customHeight="1">
      <c r="D452" s="7"/>
      <c r="E452" s="7"/>
      <c r="F452" s="7"/>
      <c r="G452" s="7"/>
      <c r="H452" s="7"/>
    </row>
    <row r="453" spans="4:8" ht="13.5" customHeight="1">
      <c r="D453" s="7"/>
      <c r="E453" s="7"/>
      <c r="F453" s="7"/>
      <c r="G453" s="7"/>
      <c r="H453" s="7"/>
    </row>
    <row r="454" spans="4:8" ht="13.5" customHeight="1">
      <c r="D454" s="7"/>
      <c r="E454" s="7"/>
      <c r="F454" s="7"/>
      <c r="G454" s="7"/>
      <c r="H454" s="7"/>
    </row>
    <row r="455" spans="4:8" ht="13.5" customHeight="1">
      <c r="D455" s="7"/>
      <c r="E455" s="7"/>
      <c r="F455" s="7"/>
      <c r="G455" s="7"/>
      <c r="H455" s="7"/>
    </row>
    <row r="456" spans="4:8" ht="13.5" customHeight="1">
      <c r="D456" s="7"/>
      <c r="E456" s="7"/>
      <c r="F456" s="7"/>
      <c r="G456" s="7"/>
      <c r="H456" s="7"/>
    </row>
    <row r="457" spans="4:8" ht="13.5" customHeight="1">
      <c r="D457" s="7"/>
      <c r="E457" s="7"/>
      <c r="F457" s="7"/>
      <c r="G457" s="7"/>
      <c r="H457" s="7"/>
    </row>
    <row r="458" spans="4:8" ht="13.5" customHeight="1">
      <c r="D458" s="7"/>
      <c r="E458" s="7"/>
      <c r="F458" s="7"/>
      <c r="G458" s="7"/>
      <c r="H458" s="7"/>
    </row>
    <row r="459" spans="4:8" ht="13.5" customHeight="1">
      <c r="D459" s="7"/>
      <c r="E459" s="7"/>
      <c r="F459" s="7"/>
      <c r="G459" s="7"/>
      <c r="H459" s="7"/>
    </row>
    <row r="460" spans="4:8" ht="13.5" customHeight="1">
      <c r="D460" s="7"/>
      <c r="E460" s="7"/>
      <c r="F460" s="7"/>
      <c r="G460" s="7"/>
      <c r="H460" s="7"/>
    </row>
    <row r="461" spans="4:8" ht="13.5" customHeight="1">
      <c r="D461" s="7"/>
      <c r="E461" s="7"/>
      <c r="F461" s="7"/>
      <c r="G461" s="7"/>
      <c r="H461" s="7"/>
    </row>
    <row r="462" spans="4:8" ht="13.5" customHeight="1">
      <c r="D462" s="7"/>
      <c r="E462" s="7"/>
      <c r="F462" s="7"/>
      <c r="G462" s="7"/>
      <c r="H462" s="7"/>
    </row>
    <row r="463" spans="4:8" ht="13.5" customHeight="1">
      <c r="D463" s="7"/>
      <c r="E463" s="7"/>
      <c r="F463" s="7"/>
      <c r="G463" s="7"/>
      <c r="H463" s="7"/>
    </row>
    <row r="464" spans="4:8" ht="13.5" customHeight="1">
      <c r="D464" s="7"/>
      <c r="E464" s="7"/>
      <c r="F464" s="7"/>
      <c r="G464" s="7"/>
      <c r="H464" s="7"/>
    </row>
    <row r="465" spans="4:8" ht="13.5" customHeight="1">
      <c r="D465" s="7"/>
      <c r="E465" s="7"/>
      <c r="F465" s="7"/>
      <c r="G465" s="7"/>
      <c r="H465" s="7"/>
    </row>
    <row r="466" spans="4:8" ht="13.5" customHeight="1">
      <c r="D466" s="7"/>
      <c r="E466" s="7"/>
      <c r="F466" s="7"/>
      <c r="G466" s="7"/>
      <c r="H466" s="7"/>
    </row>
    <row r="467" spans="4:8" ht="13.5" customHeight="1">
      <c r="D467" s="7"/>
      <c r="E467" s="7"/>
      <c r="F467" s="7"/>
      <c r="G467" s="7"/>
      <c r="H467" s="7"/>
    </row>
    <row r="468" spans="4:8" ht="13.5" customHeight="1">
      <c r="D468" s="7"/>
      <c r="E468" s="7"/>
      <c r="F468" s="7"/>
      <c r="G468" s="7"/>
      <c r="H468" s="7"/>
    </row>
    <row r="469" spans="4:8" ht="13.5" customHeight="1">
      <c r="D469" s="7"/>
      <c r="E469" s="7"/>
      <c r="F469" s="7"/>
      <c r="G469" s="7"/>
      <c r="H469" s="7"/>
    </row>
    <row r="470" spans="4:8" ht="13.5" customHeight="1">
      <c r="D470" s="7"/>
      <c r="E470" s="7"/>
      <c r="F470" s="7"/>
      <c r="G470" s="7"/>
      <c r="H470" s="7"/>
    </row>
    <row r="471" spans="4:8" ht="13.5" customHeight="1">
      <c r="D471" s="7"/>
      <c r="E471" s="7"/>
      <c r="F471" s="7"/>
      <c r="G471" s="7"/>
      <c r="H471" s="7"/>
    </row>
    <row r="472" spans="4:8" ht="13.5" customHeight="1">
      <c r="D472" s="7"/>
      <c r="E472" s="7"/>
      <c r="F472" s="7"/>
      <c r="G472" s="7"/>
      <c r="H472" s="7"/>
    </row>
    <row r="473" spans="4:8" ht="13.5" customHeight="1">
      <c r="D473" s="7"/>
      <c r="E473" s="7"/>
      <c r="F473" s="7"/>
      <c r="G473" s="7"/>
      <c r="H473" s="7"/>
    </row>
    <row r="474" spans="4:8" ht="13.5" customHeight="1">
      <c r="D474" s="7"/>
      <c r="E474" s="7"/>
      <c r="F474" s="7"/>
      <c r="G474" s="7"/>
      <c r="H474" s="7"/>
    </row>
    <row r="475" spans="4:8" ht="13.5" customHeight="1">
      <c r="D475" s="7"/>
      <c r="E475" s="7"/>
      <c r="F475" s="7"/>
      <c r="G475" s="7"/>
      <c r="H475" s="7"/>
    </row>
    <row r="476" spans="4:8" ht="13.5" customHeight="1">
      <c r="D476" s="7"/>
      <c r="E476" s="7"/>
      <c r="F476" s="7"/>
      <c r="G476" s="7"/>
      <c r="H476" s="7"/>
    </row>
    <row r="477" spans="4:8" ht="13.5" customHeight="1">
      <c r="D477" s="7"/>
      <c r="E477" s="7"/>
      <c r="F477" s="7"/>
      <c r="G477" s="7"/>
      <c r="H477" s="7"/>
    </row>
    <row r="478" spans="4:8" ht="13.5" customHeight="1">
      <c r="D478" s="7"/>
      <c r="E478" s="7"/>
      <c r="F478" s="7"/>
      <c r="G478" s="7"/>
      <c r="H478" s="7"/>
    </row>
    <row r="479" spans="4:8" ht="13.5" customHeight="1">
      <c r="D479" s="7"/>
      <c r="E479" s="7"/>
      <c r="F479" s="7"/>
      <c r="G479" s="7"/>
      <c r="H479" s="7"/>
    </row>
    <row r="480" spans="4:8" ht="13.5" customHeight="1">
      <c r="D480" s="7"/>
      <c r="E480" s="7"/>
      <c r="F480" s="7"/>
      <c r="G480" s="7"/>
      <c r="H480" s="7"/>
    </row>
    <row r="481" spans="4:8" ht="13.5" customHeight="1">
      <c r="D481" s="7"/>
      <c r="E481" s="7"/>
      <c r="F481" s="7"/>
      <c r="G481" s="7"/>
      <c r="H481" s="7"/>
    </row>
    <row r="482" spans="4:8" ht="13.5" customHeight="1">
      <c r="D482" s="7"/>
      <c r="E482" s="7"/>
      <c r="F482" s="7"/>
      <c r="G482" s="7"/>
      <c r="H482" s="7"/>
    </row>
    <row r="483" spans="4:8" ht="13.5" customHeight="1">
      <c r="D483" s="7"/>
      <c r="E483" s="7"/>
      <c r="F483" s="7"/>
      <c r="G483" s="7"/>
      <c r="H483" s="7"/>
    </row>
    <row r="484" spans="4:8" ht="13.5" customHeight="1">
      <c r="D484" s="7"/>
      <c r="E484" s="7"/>
      <c r="F484" s="7"/>
      <c r="G484" s="7"/>
      <c r="H484" s="7"/>
    </row>
    <row r="485" spans="4:8" ht="13.5" customHeight="1">
      <c r="D485" s="7"/>
      <c r="E485" s="7"/>
      <c r="F485" s="7"/>
      <c r="G485" s="7"/>
      <c r="H485" s="7"/>
    </row>
    <row r="486" spans="4:8" ht="13.5" customHeight="1">
      <c r="D486" s="7"/>
      <c r="E486" s="7"/>
      <c r="F486" s="7"/>
      <c r="G486" s="7"/>
      <c r="H486" s="7"/>
    </row>
    <row r="487" spans="4:8" ht="13.5" customHeight="1">
      <c r="D487" s="7"/>
      <c r="E487" s="7"/>
      <c r="F487" s="7"/>
      <c r="G487" s="7"/>
      <c r="H487" s="7"/>
    </row>
    <row r="488" spans="4:8" ht="13.5" customHeight="1">
      <c r="D488" s="7"/>
      <c r="E488" s="7"/>
      <c r="F488" s="7"/>
      <c r="G488" s="7"/>
      <c r="H488" s="7"/>
    </row>
    <row r="489" spans="4:8" ht="13.5" customHeight="1">
      <c r="D489" s="7"/>
      <c r="E489" s="7"/>
      <c r="F489" s="7"/>
      <c r="G489" s="7"/>
      <c r="H489" s="7"/>
    </row>
    <row r="490" spans="4:8" ht="13.5" customHeight="1">
      <c r="D490" s="7"/>
      <c r="E490" s="7"/>
      <c r="F490" s="7"/>
      <c r="G490" s="7"/>
      <c r="H490" s="7"/>
    </row>
    <row r="491" spans="4:8" ht="13.5" customHeight="1">
      <c r="D491" s="7"/>
      <c r="E491" s="7"/>
      <c r="F491" s="7"/>
      <c r="G491" s="7"/>
      <c r="H491" s="7"/>
    </row>
    <row r="492" spans="4:8" ht="13.5" customHeight="1">
      <c r="D492" s="7"/>
      <c r="E492" s="7"/>
      <c r="F492" s="7"/>
      <c r="G492" s="7"/>
      <c r="H492" s="7"/>
    </row>
    <row r="493" spans="4:8" ht="13.5" customHeight="1">
      <c r="D493" s="7"/>
      <c r="E493" s="7"/>
      <c r="F493" s="7"/>
      <c r="G493" s="7"/>
      <c r="H493" s="7"/>
    </row>
    <row r="494" spans="4:8" ht="13.5" customHeight="1">
      <c r="D494" s="7"/>
      <c r="E494" s="7"/>
      <c r="F494" s="7"/>
      <c r="G494" s="7"/>
      <c r="H494" s="7"/>
    </row>
    <row r="495" spans="4:8" ht="13.5" customHeight="1">
      <c r="D495" s="7"/>
      <c r="E495" s="7"/>
      <c r="F495" s="7"/>
      <c r="G495" s="7"/>
      <c r="H495" s="7"/>
    </row>
    <row r="496" spans="4:8" ht="13.5" customHeight="1">
      <c r="D496" s="7"/>
      <c r="E496" s="7"/>
      <c r="F496" s="7"/>
      <c r="G496" s="7"/>
      <c r="H496" s="7"/>
    </row>
    <row r="497" spans="4:8" ht="13.5" customHeight="1">
      <c r="D497" s="7"/>
      <c r="E497" s="7"/>
      <c r="F497" s="7"/>
      <c r="G497" s="7"/>
      <c r="H497" s="7"/>
    </row>
    <row r="498" spans="4:8" ht="13.5" customHeight="1">
      <c r="D498" s="7"/>
      <c r="E498" s="7"/>
      <c r="F498" s="7"/>
      <c r="G498" s="7"/>
      <c r="H498" s="7"/>
    </row>
    <row r="499" spans="4:8" ht="13.5" customHeight="1">
      <c r="D499" s="7"/>
      <c r="E499" s="7"/>
      <c r="F499" s="7"/>
      <c r="G499" s="7"/>
      <c r="H499" s="7"/>
    </row>
    <row r="500" spans="4:8" ht="13.5" customHeight="1">
      <c r="D500" s="7"/>
      <c r="E500" s="7"/>
      <c r="F500" s="7"/>
      <c r="G500" s="7"/>
      <c r="H500" s="7"/>
    </row>
    <row r="501" spans="4:8" ht="13.5" customHeight="1">
      <c r="D501" s="7"/>
      <c r="E501" s="7"/>
      <c r="F501" s="7"/>
      <c r="G501" s="7"/>
      <c r="H501" s="7"/>
    </row>
    <row r="502" spans="4:8" ht="13.5" customHeight="1">
      <c r="D502" s="7"/>
      <c r="E502" s="7"/>
      <c r="F502" s="7"/>
      <c r="G502" s="7"/>
      <c r="H502" s="7"/>
    </row>
    <row r="503" spans="4:8" ht="13.5" customHeight="1">
      <c r="D503" s="7"/>
      <c r="E503" s="7"/>
      <c r="F503" s="7"/>
      <c r="G503" s="7"/>
      <c r="H503" s="7"/>
    </row>
    <row r="504" spans="4:8" ht="13.5" customHeight="1">
      <c r="D504" s="7"/>
      <c r="E504" s="7"/>
      <c r="F504" s="7"/>
      <c r="G504" s="7"/>
      <c r="H504" s="7"/>
    </row>
    <row r="505" spans="4:8" ht="13.5" customHeight="1">
      <c r="D505" s="7"/>
      <c r="E505" s="7"/>
      <c r="F505" s="7"/>
      <c r="G505" s="7"/>
      <c r="H505" s="7"/>
    </row>
    <row r="506" spans="4:8" ht="13.5" customHeight="1">
      <c r="D506" s="7"/>
      <c r="E506" s="7"/>
      <c r="F506" s="7"/>
      <c r="G506" s="7"/>
      <c r="H506" s="7"/>
    </row>
    <row r="507" spans="4:8" ht="13.5" customHeight="1">
      <c r="D507" s="7"/>
      <c r="E507" s="7"/>
      <c r="F507" s="7"/>
      <c r="G507" s="7"/>
      <c r="H507" s="7"/>
    </row>
    <row r="508" spans="4:8" ht="13.5" customHeight="1">
      <c r="D508" s="7"/>
      <c r="E508" s="7"/>
      <c r="F508" s="7"/>
      <c r="G508" s="7"/>
      <c r="H508" s="7"/>
    </row>
    <row r="509" spans="4:8" ht="13.5" customHeight="1">
      <c r="D509" s="7"/>
      <c r="E509" s="7"/>
      <c r="F509" s="7"/>
      <c r="G509" s="7"/>
      <c r="H509" s="7"/>
    </row>
    <row r="510" spans="4:8" ht="13.5" customHeight="1">
      <c r="D510" s="7"/>
      <c r="E510" s="7"/>
      <c r="F510" s="7"/>
      <c r="G510" s="7"/>
      <c r="H510" s="7"/>
    </row>
    <row r="511" spans="4:8" ht="13.5" customHeight="1">
      <c r="D511" s="7"/>
      <c r="E511" s="7"/>
      <c r="F511" s="7"/>
      <c r="G511" s="7"/>
      <c r="H511" s="7"/>
    </row>
    <row r="512" spans="4:8" ht="13.5" customHeight="1">
      <c r="D512" s="7"/>
      <c r="E512" s="7"/>
      <c r="F512" s="7"/>
      <c r="G512" s="7"/>
      <c r="H512" s="7"/>
    </row>
    <row r="513" spans="4:8" ht="13.5" customHeight="1">
      <c r="D513" s="7"/>
      <c r="E513" s="7"/>
      <c r="F513" s="7"/>
      <c r="G513" s="7"/>
      <c r="H513" s="7"/>
    </row>
    <row r="514" spans="4:8" ht="13.5" customHeight="1">
      <c r="D514" s="7"/>
      <c r="E514" s="7"/>
      <c r="F514" s="7"/>
      <c r="G514" s="7"/>
      <c r="H514" s="7"/>
    </row>
    <row r="515" spans="4:8" ht="13.5" customHeight="1">
      <c r="D515" s="7"/>
      <c r="E515" s="7"/>
      <c r="F515" s="7"/>
      <c r="G515" s="7"/>
      <c r="H515" s="7"/>
    </row>
    <row r="516" spans="4:8" ht="13.5" customHeight="1">
      <c r="D516" s="7"/>
      <c r="E516" s="7"/>
      <c r="F516" s="7"/>
      <c r="G516" s="7"/>
      <c r="H516" s="7"/>
    </row>
    <row r="517" spans="4:8" ht="13.5" customHeight="1">
      <c r="D517" s="7"/>
      <c r="E517" s="7"/>
      <c r="F517" s="7"/>
      <c r="G517" s="7"/>
      <c r="H517" s="7"/>
    </row>
    <row r="518" spans="4:8" ht="13.5" customHeight="1">
      <c r="D518" s="7"/>
      <c r="E518" s="7"/>
      <c r="F518" s="7"/>
      <c r="G518" s="7"/>
      <c r="H518" s="7"/>
    </row>
    <row r="519" spans="4:8" ht="13.5" customHeight="1">
      <c r="D519" s="7"/>
      <c r="E519" s="7"/>
      <c r="F519" s="7"/>
      <c r="G519" s="7"/>
      <c r="H519" s="7"/>
    </row>
    <row r="520" spans="4:8" ht="13.5" customHeight="1">
      <c r="D520" s="7"/>
      <c r="E520" s="7"/>
      <c r="F520" s="7"/>
      <c r="G520" s="7"/>
      <c r="H520" s="7"/>
    </row>
    <row r="521" spans="4:8" ht="13.5" customHeight="1">
      <c r="D521" s="7"/>
      <c r="E521" s="7"/>
      <c r="F521" s="7"/>
      <c r="G521" s="7"/>
      <c r="H521" s="7"/>
    </row>
    <row r="522" spans="4:8" ht="13.5" customHeight="1">
      <c r="D522" s="7"/>
      <c r="E522" s="7"/>
      <c r="F522" s="7"/>
      <c r="G522" s="7"/>
      <c r="H522" s="7"/>
    </row>
    <row r="523" spans="4:8" ht="13.5" customHeight="1">
      <c r="D523" s="7"/>
      <c r="E523" s="7"/>
      <c r="F523" s="7"/>
      <c r="G523" s="7"/>
      <c r="H523" s="7"/>
    </row>
    <row r="524" spans="4:8" ht="13.5" customHeight="1">
      <c r="D524" s="7"/>
      <c r="E524" s="7"/>
      <c r="F524" s="7"/>
      <c r="G524" s="7"/>
      <c r="H524" s="7"/>
    </row>
    <row r="525" spans="4:8" ht="13.5" customHeight="1">
      <c r="D525" s="7"/>
      <c r="E525" s="7"/>
      <c r="F525" s="7"/>
      <c r="G525" s="7"/>
      <c r="H525" s="7"/>
    </row>
    <row r="526" spans="4:8" ht="13.5" customHeight="1">
      <c r="D526" s="7"/>
      <c r="E526" s="7"/>
      <c r="F526" s="7"/>
      <c r="G526" s="7"/>
      <c r="H526" s="7"/>
    </row>
    <row r="527" spans="4:8" ht="13.5" customHeight="1">
      <c r="D527" s="7"/>
      <c r="E527" s="7"/>
      <c r="F527" s="7"/>
      <c r="G527" s="7"/>
      <c r="H527" s="7"/>
    </row>
    <row r="528" spans="4:8" ht="13.5" customHeight="1">
      <c r="D528" s="7"/>
      <c r="E528" s="7"/>
      <c r="F528" s="7"/>
      <c r="G528" s="7"/>
      <c r="H528" s="7"/>
    </row>
    <row r="529" spans="4:8" ht="13.5" customHeight="1">
      <c r="D529" s="7"/>
      <c r="E529" s="7"/>
      <c r="F529" s="7"/>
      <c r="G529" s="7"/>
      <c r="H529" s="7"/>
    </row>
    <row r="530" spans="4:8" ht="13.5" customHeight="1">
      <c r="D530" s="7"/>
      <c r="E530" s="7"/>
      <c r="F530" s="7"/>
      <c r="G530" s="7"/>
      <c r="H530" s="7"/>
    </row>
    <row r="531" spans="4:8" ht="13.5" customHeight="1">
      <c r="D531" s="7"/>
      <c r="E531" s="7"/>
      <c r="F531" s="7"/>
      <c r="G531" s="7"/>
      <c r="H531" s="7"/>
    </row>
    <row r="532" spans="4:8" ht="13.5" customHeight="1">
      <c r="D532" s="7"/>
      <c r="E532" s="7"/>
      <c r="F532" s="7"/>
      <c r="G532" s="7"/>
      <c r="H532" s="7"/>
    </row>
    <row r="533" spans="4:8" ht="13.5" customHeight="1">
      <c r="D533" s="7"/>
      <c r="E533" s="7"/>
      <c r="F533" s="7"/>
      <c r="G533" s="7"/>
      <c r="H533" s="7"/>
    </row>
    <row r="534" spans="4:8" ht="13.5" customHeight="1">
      <c r="D534" s="7"/>
      <c r="E534" s="7"/>
      <c r="F534" s="7"/>
      <c r="G534" s="7"/>
      <c r="H534" s="7"/>
    </row>
    <row r="535" spans="4:8" ht="13.5" customHeight="1">
      <c r="D535" s="7"/>
      <c r="E535" s="7"/>
      <c r="F535" s="7"/>
      <c r="G535" s="7"/>
      <c r="H535" s="7"/>
    </row>
    <row r="536" spans="4:8" ht="13.5" customHeight="1">
      <c r="D536" s="7"/>
      <c r="E536" s="7"/>
      <c r="F536" s="7"/>
      <c r="G536" s="7"/>
      <c r="H536" s="7"/>
    </row>
    <row r="537" spans="4:8" ht="13.5" customHeight="1">
      <c r="D537" s="7"/>
      <c r="E537" s="7"/>
      <c r="F537" s="7"/>
      <c r="G537" s="7"/>
      <c r="H537" s="7"/>
    </row>
    <row r="538" spans="4:8" ht="13.5" customHeight="1">
      <c r="D538" s="7"/>
      <c r="E538" s="7"/>
      <c r="F538" s="7"/>
      <c r="G538" s="7"/>
      <c r="H538" s="7"/>
    </row>
    <row r="539" spans="4:8" ht="13.5" customHeight="1">
      <c r="D539" s="7"/>
      <c r="E539" s="7"/>
      <c r="F539" s="7"/>
      <c r="G539" s="7"/>
      <c r="H539" s="7"/>
    </row>
    <row r="540" spans="4:8" ht="13.5" customHeight="1">
      <c r="D540" s="7"/>
      <c r="E540" s="7"/>
      <c r="F540" s="7"/>
      <c r="G540" s="7"/>
      <c r="H540" s="7"/>
    </row>
    <row r="541" spans="4:8" ht="13.5" customHeight="1">
      <c r="D541" s="7"/>
      <c r="E541" s="7"/>
      <c r="F541" s="7"/>
      <c r="G541" s="7"/>
      <c r="H541" s="7"/>
    </row>
    <row r="542" spans="4:8" ht="13.5" customHeight="1">
      <c r="D542" s="7"/>
      <c r="E542" s="7"/>
      <c r="F542" s="7"/>
      <c r="G542" s="7"/>
      <c r="H542" s="7"/>
    </row>
    <row r="543" spans="4:8" ht="13.5" customHeight="1">
      <c r="D543" s="7"/>
      <c r="E543" s="7"/>
      <c r="F543" s="7"/>
      <c r="G543" s="7"/>
      <c r="H543" s="7"/>
    </row>
    <row r="544" spans="4:8" ht="13.5" customHeight="1">
      <c r="D544" s="7"/>
      <c r="E544" s="7"/>
      <c r="F544" s="7"/>
      <c r="G544" s="7"/>
      <c r="H544" s="7"/>
    </row>
    <row r="545" spans="4:8" ht="13.5" customHeight="1">
      <c r="D545" s="7"/>
      <c r="E545" s="7"/>
      <c r="F545" s="7"/>
      <c r="G545" s="7"/>
      <c r="H545" s="7"/>
    </row>
    <row r="546" spans="4:8" ht="13.5" customHeight="1">
      <c r="D546" s="7"/>
      <c r="E546" s="7"/>
      <c r="F546" s="7"/>
      <c r="G546" s="7"/>
      <c r="H546" s="7"/>
    </row>
    <row r="547" spans="4:8" ht="13.5" customHeight="1">
      <c r="D547" s="7"/>
      <c r="E547" s="7"/>
      <c r="F547" s="7"/>
      <c r="G547" s="7"/>
      <c r="H547" s="7"/>
    </row>
    <row r="548" spans="4:8" ht="13.5" customHeight="1">
      <c r="D548" s="7"/>
      <c r="E548" s="7"/>
      <c r="F548" s="7"/>
      <c r="G548" s="7"/>
      <c r="H548" s="7"/>
    </row>
    <row r="549" spans="4:8" ht="13.5" customHeight="1">
      <c r="D549" s="7"/>
      <c r="E549" s="7"/>
      <c r="F549" s="7"/>
      <c r="G549" s="7"/>
      <c r="H549" s="7"/>
    </row>
    <row r="550" spans="4:8" ht="13.5" customHeight="1">
      <c r="D550" s="7"/>
      <c r="E550" s="7"/>
      <c r="F550" s="7"/>
      <c r="G550" s="7"/>
      <c r="H550" s="7"/>
    </row>
    <row r="551" spans="4:8" ht="13.5" customHeight="1">
      <c r="D551" s="7"/>
      <c r="E551" s="7"/>
      <c r="F551" s="7"/>
      <c r="G551" s="7"/>
      <c r="H551" s="7"/>
    </row>
    <row r="552" spans="4:8" ht="13.5" customHeight="1">
      <c r="D552" s="7"/>
      <c r="E552" s="7"/>
      <c r="F552" s="7"/>
      <c r="G552" s="7"/>
      <c r="H552" s="7"/>
    </row>
    <row r="553" spans="4:8" ht="13.5" customHeight="1">
      <c r="D553" s="7"/>
      <c r="E553" s="7"/>
      <c r="F553" s="7"/>
      <c r="G553" s="7"/>
      <c r="H553" s="7"/>
    </row>
    <row r="554" spans="4:8" ht="13.5" customHeight="1">
      <c r="D554" s="7"/>
      <c r="E554" s="7"/>
      <c r="F554" s="7"/>
      <c r="G554" s="7"/>
      <c r="H554" s="7"/>
    </row>
    <row r="555" spans="4:8" ht="13.5" customHeight="1">
      <c r="D555" s="7"/>
      <c r="E555" s="7"/>
      <c r="F555" s="7"/>
      <c r="G555" s="7"/>
      <c r="H555" s="7"/>
    </row>
    <row r="556" spans="4:8" ht="13.5" customHeight="1">
      <c r="D556" s="7"/>
      <c r="E556" s="7"/>
      <c r="F556" s="7"/>
      <c r="G556" s="7"/>
      <c r="H556" s="7"/>
    </row>
    <row r="557" spans="4:8" ht="13.5" customHeight="1">
      <c r="D557" s="7"/>
      <c r="E557" s="7"/>
      <c r="F557" s="7"/>
      <c r="G557" s="7"/>
      <c r="H557" s="7"/>
    </row>
    <row r="558" spans="4:8" ht="13.5" customHeight="1">
      <c r="D558" s="7"/>
      <c r="E558" s="7"/>
      <c r="F558" s="7"/>
      <c r="G558" s="7"/>
      <c r="H558" s="7"/>
    </row>
    <row r="559" spans="4:8" ht="13.5" customHeight="1">
      <c r="D559" s="7"/>
      <c r="E559" s="7"/>
      <c r="F559" s="7"/>
      <c r="G559" s="7"/>
      <c r="H559" s="7"/>
    </row>
    <row r="560" spans="4:8" ht="13.5" customHeight="1">
      <c r="D560" s="7"/>
      <c r="E560" s="7"/>
      <c r="F560" s="7"/>
      <c r="G560" s="7"/>
      <c r="H560" s="7"/>
    </row>
    <row r="561" spans="4:8" ht="13.5" customHeight="1">
      <c r="D561" s="7"/>
      <c r="E561" s="7"/>
      <c r="F561" s="7"/>
      <c r="G561" s="7"/>
      <c r="H561" s="7"/>
    </row>
    <row r="562" spans="4:8" ht="13.5" customHeight="1">
      <c r="D562" s="7"/>
      <c r="E562" s="7"/>
      <c r="F562" s="7"/>
      <c r="G562" s="7"/>
      <c r="H562" s="7"/>
    </row>
    <row r="563" spans="4:8" ht="13.5" customHeight="1">
      <c r="D563" s="7"/>
      <c r="E563" s="7"/>
      <c r="F563" s="7"/>
      <c r="G563" s="7"/>
      <c r="H563" s="7"/>
    </row>
    <row r="564" spans="4:8" ht="13.5" customHeight="1">
      <c r="D564" s="7"/>
      <c r="E564" s="7"/>
      <c r="F564" s="7"/>
      <c r="G564" s="7"/>
      <c r="H564" s="7"/>
    </row>
    <row r="565" spans="4:8" ht="13.5" customHeight="1">
      <c r="D565" s="7"/>
      <c r="E565" s="7"/>
      <c r="F565" s="7"/>
      <c r="G565" s="7"/>
      <c r="H565" s="7"/>
    </row>
    <row r="566" spans="4:8" ht="13.5" customHeight="1">
      <c r="D566" s="7"/>
      <c r="E566" s="7"/>
      <c r="F566" s="7"/>
      <c r="G566" s="7"/>
      <c r="H566" s="7"/>
    </row>
    <row r="567" spans="4:8" ht="13.5" customHeight="1">
      <c r="D567" s="7"/>
      <c r="E567" s="7"/>
      <c r="F567" s="7"/>
      <c r="G567" s="7"/>
      <c r="H567" s="7"/>
    </row>
    <row r="568" spans="4:8" ht="13.5" customHeight="1">
      <c r="D568" s="7"/>
      <c r="E568" s="7"/>
      <c r="F568" s="7"/>
      <c r="G568" s="7"/>
      <c r="H568" s="7"/>
    </row>
    <row r="569" spans="4:8" ht="13.5" customHeight="1">
      <c r="D569" s="7"/>
      <c r="E569" s="7"/>
      <c r="F569" s="7"/>
      <c r="G569" s="7"/>
      <c r="H569" s="7"/>
    </row>
    <row r="570" spans="4:8" ht="13.5" customHeight="1">
      <c r="D570" s="7"/>
      <c r="E570" s="7"/>
      <c r="F570" s="7"/>
      <c r="G570" s="7"/>
      <c r="H570" s="7"/>
    </row>
    <row r="571" spans="4:8" ht="13.5" customHeight="1">
      <c r="D571" s="7"/>
      <c r="E571" s="7"/>
      <c r="F571" s="7"/>
      <c r="G571" s="7"/>
      <c r="H571" s="7"/>
    </row>
    <row r="572" spans="4:8" ht="13.5" customHeight="1">
      <c r="D572" s="7"/>
      <c r="E572" s="7"/>
      <c r="F572" s="7"/>
      <c r="G572" s="7"/>
      <c r="H572" s="7"/>
    </row>
    <row r="573" spans="4:8" ht="13.5" customHeight="1">
      <c r="D573" s="7"/>
      <c r="E573" s="7"/>
      <c r="F573" s="7"/>
      <c r="G573" s="7"/>
      <c r="H573" s="7"/>
    </row>
    <row r="574" spans="4:8" ht="13.5" customHeight="1">
      <c r="D574" s="7"/>
      <c r="E574" s="7"/>
      <c r="F574" s="7"/>
      <c r="G574" s="7"/>
      <c r="H574" s="7"/>
    </row>
    <row r="575" spans="4:8" ht="13.5" customHeight="1">
      <c r="D575" s="7"/>
      <c r="E575" s="7"/>
      <c r="F575" s="7"/>
      <c r="G575" s="7"/>
      <c r="H575" s="7"/>
    </row>
    <row r="576" spans="4:8" ht="13.5" customHeight="1">
      <c r="D576" s="7"/>
      <c r="E576" s="7"/>
      <c r="F576" s="7"/>
      <c r="G576" s="7"/>
      <c r="H576" s="7"/>
    </row>
    <row r="577" spans="4:8" ht="13.5" customHeight="1">
      <c r="D577" s="7"/>
      <c r="E577" s="7"/>
      <c r="F577" s="7"/>
      <c r="G577" s="7"/>
      <c r="H577" s="7"/>
    </row>
    <row r="578" spans="4:8" ht="13.5" customHeight="1">
      <c r="D578" s="7"/>
      <c r="E578" s="7"/>
      <c r="F578" s="7"/>
      <c r="G578" s="7"/>
      <c r="H578" s="7"/>
    </row>
    <row r="579" spans="4:8" ht="13.5" customHeight="1">
      <c r="D579" s="7"/>
      <c r="E579" s="7"/>
      <c r="F579" s="7"/>
      <c r="G579" s="7"/>
      <c r="H579" s="7"/>
    </row>
    <row r="580" spans="4:8" ht="13.5" customHeight="1">
      <c r="D580" s="7"/>
      <c r="E580" s="7"/>
      <c r="F580" s="7"/>
      <c r="G580" s="7"/>
      <c r="H580" s="7"/>
    </row>
    <row r="581" spans="4:8" ht="13.5" customHeight="1">
      <c r="D581" s="7"/>
      <c r="E581" s="7"/>
      <c r="F581" s="7"/>
      <c r="G581" s="7"/>
      <c r="H581" s="7"/>
    </row>
    <row r="582" spans="4:8" ht="13.5" customHeight="1">
      <c r="D582" s="7"/>
      <c r="E582" s="7"/>
      <c r="F582" s="7"/>
      <c r="G582" s="7"/>
      <c r="H582" s="7"/>
    </row>
    <row r="583" spans="4:8" ht="13.5" customHeight="1">
      <c r="D583" s="7"/>
      <c r="E583" s="7"/>
      <c r="F583" s="7"/>
      <c r="G583" s="7"/>
      <c r="H583" s="7"/>
    </row>
    <row r="584" spans="4:8" ht="13.5" customHeight="1">
      <c r="D584" s="7"/>
      <c r="E584" s="7"/>
      <c r="F584" s="7"/>
      <c r="G584" s="7"/>
      <c r="H584" s="7"/>
    </row>
    <row r="585" spans="4:8" ht="13.5" customHeight="1">
      <c r="D585" s="7"/>
      <c r="E585" s="7"/>
      <c r="F585" s="7"/>
      <c r="G585" s="7"/>
      <c r="H585" s="7"/>
    </row>
    <row r="586" spans="4:8" ht="13.5" customHeight="1">
      <c r="D586" s="7"/>
      <c r="E586" s="7"/>
      <c r="F586" s="7"/>
      <c r="G586" s="7"/>
      <c r="H586" s="7"/>
    </row>
    <row r="587" spans="4:8" ht="13.5" customHeight="1">
      <c r="D587" s="7"/>
      <c r="E587" s="7"/>
      <c r="F587" s="7"/>
      <c r="G587" s="7"/>
      <c r="H587" s="7"/>
    </row>
    <row r="588" spans="4:8" ht="13.5" customHeight="1">
      <c r="D588" s="7"/>
      <c r="E588" s="7"/>
      <c r="F588" s="7"/>
      <c r="G588" s="7"/>
      <c r="H588" s="7"/>
    </row>
    <row r="589" spans="4:8" ht="13.5" customHeight="1">
      <c r="D589" s="7"/>
      <c r="E589" s="7"/>
      <c r="F589" s="7"/>
      <c r="G589" s="7"/>
      <c r="H589" s="7"/>
    </row>
    <row r="590" spans="4:8" ht="13.5" customHeight="1">
      <c r="D590" s="7"/>
      <c r="E590" s="7"/>
      <c r="F590" s="7"/>
      <c r="G590" s="7"/>
      <c r="H590" s="7"/>
    </row>
    <row r="591" spans="4:8" ht="13.5" customHeight="1">
      <c r="D591" s="7"/>
      <c r="E591" s="7"/>
      <c r="F591" s="7"/>
      <c r="G591" s="7"/>
      <c r="H591" s="7"/>
    </row>
    <row r="592" spans="4:8" ht="13.5" customHeight="1">
      <c r="D592" s="7"/>
      <c r="E592" s="7"/>
      <c r="F592" s="7"/>
      <c r="G592" s="7"/>
      <c r="H592" s="7"/>
    </row>
    <row r="593" spans="4:8" ht="13.5" customHeight="1">
      <c r="D593" s="7"/>
      <c r="E593" s="7"/>
      <c r="F593" s="7"/>
      <c r="G593" s="7"/>
      <c r="H593" s="7"/>
    </row>
    <row r="594" spans="4:8" ht="13.5" customHeight="1">
      <c r="D594" s="7"/>
      <c r="E594" s="7"/>
      <c r="F594" s="7"/>
      <c r="G594" s="7"/>
      <c r="H594" s="7"/>
    </row>
    <row r="595" spans="4:8" ht="13.5" customHeight="1">
      <c r="D595" s="7"/>
      <c r="E595" s="7"/>
      <c r="F595" s="7"/>
      <c r="G595" s="7"/>
      <c r="H595" s="7"/>
    </row>
    <row r="596" spans="4:8" ht="13.5" customHeight="1">
      <c r="D596" s="7"/>
      <c r="E596" s="7"/>
      <c r="F596" s="7"/>
      <c r="G596" s="7"/>
      <c r="H596" s="7"/>
    </row>
    <row r="597" spans="4:8" ht="13.5" customHeight="1">
      <c r="D597" s="7"/>
      <c r="E597" s="7"/>
      <c r="F597" s="7"/>
      <c r="G597" s="7"/>
      <c r="H597" s="7"/>
    </row>
    <row r="598" spans="4:8" ht="13.5" customHeight="1">
      <c r="D598" s="7"/>
      <c r="E598" s="7"/>
      <c r="F598" s="7"/>
      <c r="G598" s="7"/>
      <c r="H598" s="7"/>
    </row>
    <row r="599" spans="4:8" ht="13.5" customHeight="1">
      <c r="D599" s="7"/>
      <c r="E599" s="7"/>
      <c r="F599" s="7"/>
      <c r="G599" s="7"/>
      <c r="H599" s="7"/>
    </row>
    <row r="600" spans="4:8" ht="13.5" customHeight="1">
      <c r="D600" s="7"/>
      <c r="E600" s="7"/>
      <c r="F600" s="7"/>
      <c r="G600" s="7"/>
      <c r="H600" s="7"/>
    </row>
    <row r="601" spans="4:8" ht="13.5" customHeight="1">
      <c r="D601" s="7"/>
      <c r="E601" s="7"/>
      <c r="F601" s="7"/>
      <c r="G601" s="7"/>
      <c r="H601" s="7"/>
    </row>
    <row r="602" spans="4:8" ht="13.5" customHeight="1">
      <c r="D602" s="7"/>
      <c r="E602" s="7"/>
      <c r="F602" s="7"/>
      <c r="G602" s="7"/>
      <c r="H602" s="7"/>
    </row>
    <row r="603" spans="4:8" ht="13.5" customHeight="1">
      <c r="D603" s="7"/>
      <c r="E603" s="7"/>
      <c r="F603" s="7"/>
      <c r="G603" s="7"/>
      <c r="H603" s="7"/>
    </row>
    <row r="604" spans="4:8" ht="13.5" customHeight="1">
      <c r="D604" s="7"/>
      <c r="E604" s="7"/>
      <c r="F604" s="7"/>
      <c r="G604" s="7"/>
      <c r="H604" s="7"/>
    </row>
    <row r="605" spans="4:8" ht="13.5" customHeight="1">
      <c r="D605" s="7"/>
      <c r="E605" s="7"/>
      <c r="F605" s="7"/>
      <c r="G605" s="7"/>
      <c r="H605" s="7"/>
    </row>
    <row r="606" spans="4:8" ht="13.5" customHeight="1">
      <c r="D606" s="7"/>
      <c r="E606" s="7"/>
      <c r="F606" s="7"/>
      <c r="G606" s="7"/>
      <c r="H606" s="7"/>
    </row>
    <row r="607" spans="4:8" ht="13.5" customHeight="1">
      <c r="D607" s="7"/>
      <c r="E607" s="7"/>
      <c r="F607" s="7"/>
      <c r="G607" s="7"/>
      <c r="H607" s="7"/>
    </row>
    <row r="608" spans="4:8" ht="13.5" customHeight="1">
      <c r="D608" s="7"/>
      <c r="E608" s="7"/>
      <c r="F608" s="7"/>
      <c r="G608" s="7"/>
      <c r="H608" s="7"/>
    </row>
    <row r="609" spans="4:8" ht="13.5" customHeight="1">
      <c r="D609" s="7"/>
      <c r="E609" s="7"/>
      <c r="F609" s="7"/>
      <c r="G609" s="7"/>
      <c r="H609" s="7"/>
    </row>
    <row r="610" spans="4:8" ht="13.5" customHeight="1">
      <c r="D610" s="7"/>
      <c r="E610" s="7"/>
      <c r="F610" s="7"/>
      <c r="G610" s="7"/>
      <c r="H610" s="7"/>
    </row>
    <row r="611" spans="4:8" ht="13.5" customHeight="1">
      <c r="D611" s="7"/>
      <c r="E611" s="7"/>
      <c r="F611" s="7"/>
      <c r="G611" s="7"/>
      <c r="H611" s="7"/>
    </row>
    <row r="612" spans="4:8" ht="13.5" customHeight="1">
      <c r="D612" s="7"/>
      <c r="E612" s="7"/>
      <c r="F612" s="7"/>
      <c r="G612" s="7"/>
      <c r="H612" s="7"/>
    </row>
    <row r="613" spans="4:8" ht="13.5" customHeight="1">
      <c r="D613" s="7"/>
      <c r="E613" s="7"/>
      <c r="F613" s="7"/>
      <c r="G613" s="7"/>
      <c r="H613" s="7"/>
    </row>
    <row r="614" spans="4:8" ht="13.5" customHeight="1">
      <c r="D614" s="7"/>
      <c r="E614" s="7"/>
      <c r="F614" s="7"/>
      <c r="G614" s="7"/>
      <c r="H614" s="7"/>
    </row>
    <row r="615" spans="4:8" ht="13.5" customHeight="1">
      <c r="D615" s="7"/>
      <c r="E615" s="7"/>
      <c r="F615" s="7"/>
      <c r="G615" s="7"/>
      <c r="H615" s="7"/>
    </row>
    <row r="616" spans="4:8" ht="13.5" customHeight="1">
      <c r="D616" s="7"/>
      <c r="E616" s="7"/>
      <c r="F616" s="7"/>
      <c r="G616" s="7"/>
      <c r="H616" s="7"/>
    </row>
    <row r="617" spans="4:8" ht="13.5" customHeight="1">
      <c r="D617" s="7"/>
      <c r="E617" s="7"/>
      <c r="F617" s="7"/>
      <c r="G617" s="7"/>
      <c r="H617" s="7"/>
    </row>
    <row r="618" spans="4:8" ht="13.5" customHeight="1">
      <c r="D618" s="7"/>
      <c r="E618" s="7"/>
      <c r="F618" s="7"/>
      <c r="G618" s="7"/>
      <c r="H618" s="7"/>
    </row>
    <row r="619" spans="4:8" ht="13.5" customHeight="1">
      <c r="D619" s="7"/>
      <c r="E619" s="7"/>
      <c r="F619" s="7"/>
      <c r="G619" s="7"/>
      <c r="H619" s="7"/>
    </row>
    <row r="620" spans="4:8" ht="13.5" customHeight="1">
      <c r="D620" s="7"/>
      <c r="E620" s="7"/>
      <c r="F620" s="7"/>
      <c r="G620" s="7"/>
      <c r="H620" s="7"/>
    </row>
    <row r="621" spans="4:8" ht="13.5" customHeight="1">
      <c r="D621" s="7"/>
      <c r="E621" s="7"/>
      <c r="F621" s="7"/>
      <c r="G621" s="7"/>
      <c r="H621" s="7"/>
    </row>
    <row r="622" spans="4:8" ht="13.5" customHeight="1">
      <c r="D622" s="7"/>
      <c r="E622" s="7"/>
      <c r="F622" s="7"/>
      <c r="G622" s="7"/>
      <c r="H622" s="7"/>
    </row>
    <row r="623" spans="4:8" ht="13.5" customHeight="1">
      <c r="D623" s="7"/>
      <c r="E623" s="7"/>
      <c r="F623" s="7"/>
      <c r="G623" s="7"/>
      <c r="H623" s="7"/>
    </row>
    <row r="624" spans="4:8" ht="13.5" customHeight="1">
      <c r="D624" s="7"/>
      <c r="E624" s="7"/>
      <c r="F624" s="7"/>
      <c r="G624" s="7"/>
      <c r="H624" s="7"/>
    </row>
    <row r="625" spans="4:8" ht="13.5" customHeight="1">
      <c r="D625" s="7"/>
      <c r="E625" s="7"/>
      <c r="F625" s="7"/>
      <c r="G625" s="7"/>
      <c r="H625" s="7"/>
    </row>
    <row r="626" spans="4:8" ht="13.5" customHeight="1">
      <c r="D626" s="7"/>
      <c r="E626" s="7"/>
      <c r="F626" s="7"/>
      <c r="G626" s="7"/>
      <c r="H626" s="7"/>
    </row>
    <row r="627" spans="4:8" ht="13.5" customHeight="1">
      <c r="D627" s="7"/>
      <c r="E627" s="7"/>
      <c r="F627" s="7"/>
      <c r="G627" s="7"/>
      <c r="H627" s="7"/>
    </row>
    <row r="628" spans="4:8" ht="13.5" customHeight="1">
      <c r="D628" s="7"/>
      <c r="E628" s="7"/>
      <c r="F628" s="7"/>
      <c r="G628" s="7"/>
      <c r="H628" s="7"/>
    </row>
    <row r="629" spans="4:8" ht="13.5" customHeight="1">
      <c r="D629" s="7"/>
      <c r="E629" s="7"/>
      <c r="F629" s="7"/>
      <c r="G629" s="7"/>
      <c r="H629" s="7"/>
    </row>
    <row r="630" spans="4:8" ht="13.5" customHeight="1">
      <c r="D630" s="7"/>
      <c r="E630" s="7"/>
      <c r="F630" s="7"/>
      <c r="G630" s="7"/>
      <c r="H630" s="7"/>
    </row>
    <row r="631" spans="4:8" ht="13.5" customHeight="1">
      <c r="D631" s="7"/>
      <c r="E631" s="7"/>
      <c r="F631" s="7"/>
      <c r="G631" s="7"/>
      <c r="H631" s="7"/>
    </row>
    <row r="632" spans="4:8" ht="13.5" customHeight="1">
      <c r="D632" s="7"/>
      <c r="E632" s="7"/>
      <c r="F632" s="7"/>
      <c r="G632" s="7"/>
      <c r="H632" s="7"/>
    </row>
    <row r="633" spans="4:8" ht="13.5" customHeight="1">
      <c r="D633" s="7"/>
      <c r="E633" s="7"/>
      <c r="F633" s="7"/>
      <c r="G633" s="7"/>
      <c r="H633" s="7"/>
    </row>
    <row r="634" spans="4:8" ht="13.5" customHeight="1">
      <c r="D634" s="7"/>
      <c r="E634" s="7"/>
      <c r="F634" s="7"/>
      <c r="G634" s="7"/>
      <c r="H634" s="7"/>
    </row>
    <row r="635" spans="4:8" ht="13.5" customHeight="1">
      <c r="D635" s="7"/>
      <c r="E635" s="7"/>
      <c r="F635" s="7"/>
      <c r="G635" s="7"/>
      <c r="H635" s="7"/>
    </row>
    <row r="636" spans="4:8" ht="13.5" customHeight="1">
      <c r="D636" s="7"/>
      <c r="E636" s="7"/>
      <c r="F636" s="7"/>
      <c r="G636" s="7"/>
      <c r="H636" s="7"/>
    </row>
    <row r="637" spans="4:8" ht="13.5" customHeight="1">
      <c r="D637" s="7"/>
      <c r="E637" s="7"/>
      <c r="F637" s="7"/>
      <c r="G637" s="7"/>
      <c r="H637" s="7"/>
    </row>
    <row r="638" spans="4:8" ht="13.5" customHeight="1">
      <c r="D638" s="7"/>
      <c r="E638" s="7"/>
      <c r="F638" s="7"/>
      <c r="G638" s="7"/>
      <c r="H638" s="7"/>
    </row>
    <row r="639" spans="4:8" ht="13.5" customHeight="1">
      <c r="D639" s="7"/>
      <c r="E639" s="7"/>
      <c r="F639" s="7"/>
      <c r="G639" s="7"/>
      <c r="H639" s="7"/>
    </row>
    <row r="640" spans="4:8" ht="13.5" customHeight="1">
      <c r="D640" s="7"/>
      <c r="E640" s="7"/>
      <c r="F640" s="7"/>
      <c r="G640" s="7"/>
      <c r="H640" s="7"/>
    </row>
    <row r="641" spans="4:8" ht="13.5" customHeight="1">
      <c r="D641" s="7"/>
      <c r="E641" s="7"/>
      <c r="F641" s="7"/>
      <c r="G641" s="7"/>
      <c r="H641" s="7"/>
    </row>
    <row r="642" spans="4:8" ht="13.5" customHeight="1">
      <c r="D642" s="7"/>
      <c r="E642" s="7"/>
      <c r="F642" s="7"/>
      <c r="G642" s="7"/>
      <c r="H642" s="7"/>
    </row>
    <row r="643" spans="4:8" ht="13.5" customHeight="1">
      <c r="D643" s="7"/>
      <c r="E643" s="7"/>
      <c r="F643" s="7"/>
      <c r="G643" s="7"/>
      <c r="H643" s="7"/>
    </row>
    <row r="644" spans="4:8" ht="13.5" customHeight="1">
      <c r="D644" s="7"/>
      <c r="E644" s="7"/>
      <c r="F644" s="7"/>
      <c r="G644" s="7"/>
      <c r="H644" s="7"/>
    </row>
    <row r="645" spans="4:8" ht="13.5" customHeight="1">
      <c r="D645" s="7"/>
      <c r="E645" s="7"/>
      <c r="F645" s="7"/>
      <c r="G645" s="7"/>
      <c r="H645" s="7"/>
    </row>
    <row r="646" spans="4:8" ht="13.5" customHeight="1">
      <c r="D646" s="7"/>
      <c r="E646" s="7"/>
      <c r="F646" s="7"/>
      <c r="G646" s="7"/>
      <c r="H646" s="7"/>
    </row>
    <row r="647" spans="4:8" ht="13.5" customHeight="1">
      <c r="D647" s="7"/>
      <c r="E647" s="7"/>
      <c r="F647" s="7"/>
      <c r="G647" s="7"/>
      <c r="H647" s="7"/>
    </row>
    <row r="648" spans="4:8" ht="13.5" customHeight="1">
      <c r="D648" s="7"/>
      <c r="E648" s="7"/>
      <c r="F648" s="7"/>
      <c r="G648" s="7"/>
      <c r="H648" s="7"/>
    </row>
    <row r="649" spans="4:8" ht="13.5" customHeight="1">
      <c r="D649" s="7"/>
      <c r="E649" s="7"/>
      <c r="F649" s="7"/>
      <c r="G649" s="7"/>
      <c r="H649" s="7"/>
    </row>
    <row r="650" spans="4:8" ht="13.5" customHeight="1">
      <c r="D650" s="7"/>
      <c r="E650" s="7"/>
      <c r="F650" s="7"/>
      <c r="G650" s="7"/>
      <c r="H650" s="7"/>
    </row>
    <row r="651" spans="4:8" ht="13.5" customHeight="1">
      <c r="D651" s="7"/>
      <c r="E651" s="7"/>
      <c r="F651" s="7"/>
      <c r="G651" s="7"/>
      <c r="H651" s="7"/>
    </row>
    <row r="652" spans="4:8" ht="13.5" customHeight="1">
      <c r="D652" s="7"/>
      <c r="E652" s="7"/>
      <c r="F652" s="7"/>
      <c r="G652" s="7"/>
      <c r="H652" s="7"/>
    </row>
    <row r="653" spans="4:8" ht="13.5" customHeight="1">
      <c r="D653" s="7"/>
      <c r="E653" s="7"/>
      <c r="F653" s="7"/>
      <c r="G653" s="7"/>
      <c r="H653" s="7"/>
    </row>
    <row r="654" spans="4:8" ht="13.5" customHeight="1">
      <c r="D654" s="7"/>
      <c r="E654" s="7"/>
      <c r="F654" s="7"/>
      <c r="G654" s="7"/>
      <c r="H654" s="7"/>
    </row>
    <row r="655" spans="4:8" ht="13.5" customHeight="1">
      <c r="D655" s="7"/>
      <c r="E655" s="7"/>
      <c r="F655" s="7"/>
      <c r="G655" s="7"/>
      <c r="H655" s="7"/>
    </row>
    <row r="656" spans="4:8" ht="13.5" customHeight="1">
      <c r="D656" s="7"/>
      <c r="E656" s="7"/>
      <c r="F656" s="7"/>
      <c r="G656" s="7"/>
      <c r="H656" s="7"/>
    </row>
    <row r="657" spans="4:8" ht="13.5" customHeight="1">
      <c r="D657" s="7"/>
      <c r="E657" s="7"/>
      <c r="F657" s="7"/>
      <c r="G657" s="7"/>
      <c r="H657" s="7"/>
    </row>
    <row r="658" spans="4:8" ht="13.5" customHeight="1">
      <c r="D658" s="7"/>
      <c r="E658" s="7"/>
      <c r="F658" s="7"/>
      <c r="G658" s="7"/>
      <c r="H658" s="7"/>
    </row>
    <row r="659" spans="4:8" ht="13.5" customHeight="1">
      <c r="D659" s="7"/>
      <c r="E659" s="7"/>
      <c r="F659" s="7"/>
      <c r="G659" s="7"/>
      <c r="H659" s="7"/>
    </row>
    <row r="660" spans="4:8" ht="13.5" customHeight="1">
      <c r="D660" s="7"/>
      <c r="E660" s="7"/>
      <c r="F660" s="7"/>
      <c r="G660" s="7"/>
      <c r="H660" s="7"/>
    </row>
    <row r="661" spans="4:8" ht="13.5" customHeight="1">
      <c r="D661" s="7"/>
      <c r="E661" s="7"/>
      <c r="F661" s="7"/>
      <c r="G661" s="7"/>
      <c r="H661" s="7"/>
    </row>
    <row r="662" spans="4:8" ht="13.5" customHeight="1">
      <c r="D662" s="7"/>
      <c r="E662" s="7"/>
      <c r="F662" s="7"/>
      <c r="G662" s="7"/>
      <c r="H662" s="7"/>
    </row>
    <row r="663" spans="4:8" ht="13.5" customHeight="1">
      <c r="D663" s="7"/>
      <c r="E663" s="7"/>
      <c r="F663" s="7"/>
      <c r="G663" s="7"/>
      <c r="H663" s="7"/>
    </row>
    <row r="664" spans="4:8" ht="13.5" customHeight="1">
      <c r="D664" s="7"/>
      <c r="E664" s="7"/>
      <c r="F664" s="7"/>
      <c r="G664" s="7"/>
      <c r="H664" s="7"/>
    </row>
    <row r="665" spans="4:8" ht="13.5" customHeight="1">
      <c r="D665" s="7"/>
      <c r="E665" s="7"/>
      <c r="F665" s="7"/>
      <c r="G665" s="7"/>
      <c r="H665" s="7"/>
    </row>
    <row r="666" spans="4:8" ht="13.5" customHeight="1">
      <c r="D666" s="7"/>
      <c r="E666" s="7"/>
      <c r="F666" s="7"/>
      <c r="G666" s="7"/>
      <c r="H666" s="7"/>
    </row>
    <row r="667" spans="4:8" ht="13.5" customHeight="1">
      <c r="D667" s="7"/>
      <c r="E667" s="7"/>
      <c r="F667" s="7"/>
      <c r="G667" s="7"/>
      <c r="H667" s="7"/>
    </row>
    <row r="668" spans="4:8" ht="13.5" customHeight="1">
      <c r="D668" s="7"/>
      <c r="E668" s="7"/>
      <c r="F668" s="7"/>
      <c r="G668" s="7"/>
      <c r="H668" s="7"/>
    </row>
    <row r="669" spans="4:8" ht="13.5" customHeight="1">
      <c r="D669" s="7"/>
      <c r="E669" s="7"/>
      <c r="F669" s="7"/>
      <c r="G669" s="7"/>
      <c r="H669" s="7"/>
    </row>
    <row r="670" spans="4:8" ht="13.5" customHeight="1">
      <c r="D670" s="7"/>
      <c r="E670" s="7"/>
      <c r="F670" s="7"/>
      <c r="G670" s="7"/>
      <c r="H670" s="7"/>
    </row>
    <row r="671" spans="4:8" ht="13.5" customHeight="1">
      <c r="D671" s="7"/>
      <c r="E671" s="7"/>
      <c r="F671" s="7"/>
      <c r="G671" s="7"/>
      <c r="H671" s="7"/>
    </row>
    <row r="672" spans="4:8" ht="13.5" customHeight="1">
      <c r="D672" s="7"/>
      <c r="E672" s="7"/>
      <c r="F672" s="7"/>
      <c r="G672" s="7"/>
      <c r="H672" s="7"/>
    </row>
    <row r="673" spans="4:8" ht="13.5" customHeight="1">
      <c r="D673" s="7"/>
      <c r="E673" s="7"/>
      <c r="F673" s="7"/>
      <c r="G673" s="7"/>
      <c r="H673" s="7"/>
    </row>
    <row r="674" spans="4:8" ht="13.5" customHeight="1">
      <c r="D674" s="7"/>
      <c r="E674" s="7"/>
      <c r="F674" s="7"/>
      <c r="G674" s="7"/>
      <c r="H674" s="7"/>
    </row>
    <row r="675" spans="4:8" ht="13.5" customHeight="1">
      <c r="D675" s="7"/>
      <c r="E675" s="7"/>
      <c r="F675" s="7"/>
      <c r="G675" s="7"/>
      <c r="H675" s="7"/>
    </row>
    <row r="676" spans="4:8" ht="13.5" customHeight="1">
      <c r="D676" s="7"/>
      <c r="E676" s="7"/>
      <c r="F676" s="7"/>
      <c r="G676" s="7"/>
      <c r="H676" s="7"/>
    </row>
    <row r="677" spans="4:8" ht="13.5" customHeight="1">
      <c r="D677" s="7"/>
      <c r="E677" s="7"/>
      <c r="F677" s="7"/>
      <c r="G677" s="7"/>
      <c r="H677" s="7"/>
    </row>
    <row r="678" spans="4:8" ht="13.5" customHeight="1">
      <c r="D678" s="7"/>
      <c r="E678" s="7"/>
      <c r="F678" s="7"/>
      <c r="G678" s="7"/>
      <c r="H678" s="7"/>
    </row>
    <row r="679" spans="4:8" ht="13.5" customHeight="1">
      <c r="D679" s="7"/>
      <c r="E679" s="7"/>
      <c r="F679" s="7"/>
      <c r="G679" s="7"/>
      <c r="H679" s="7"/>
    </row>
    <row r="680" spans="4:8" ht="13.5" customHeight="1">
      <c r="D680" s="7"/>
      <c r="E680" s="7"/>
      <c r="F680" s="7"/>
      <c r="G680" s="7"/>
      <c r="H680" s="7"/>
    </row>
    <row r="681" spans="4:8" ht="13.5" customHeight="1">
      <c r="D681" s="7"/>
      <c r="E681" s="7"/>
      <c r="F681" s="7"/>
      <c r="G681" s="7"/>
      <c r="H681" s="7"/>
    </row>
    <row r="682" spans="4:8" ht="13.5" customHeight="1">
      <c r="D682" s="7"/>
      <c r="E682" s="7"/>
      <c r="F682" s="7"/>
      <c r="G682" s="7"/>
      <c r="H682" s="7"/>
    </row>
    <row r="683" spans="4:8" ht="13.5" customHeight="1">
      <c r="D683" s="7"/>
      <c r="E683" s="7"/>
      <c r="F683" s="7"/>
      <c r="G683" s="7"/>
      <c r="H683" s="7"/>
    </row>
    <row r="684" spans="4:8" ht="13.5" customHeight="1">
      <c r="D684" s="7"/>
      <c r="E684" s="7"/>
      <c r="F684" s="7"/>
      <c r="G684" s="7"/>
      <c r="H684" s="7"/>
    </row>
    <row r="685" spans="4:8" ht="13.5" customHeight="1">
      <c r="D685" s="7"/>
      <c r="E685" s="7"/>
      <c r="F685" s="7"/>
      <c r="G685" s="7"/>
      <c r="H685" s="7"/>
    </row>
    <row r="686" spans="4:8" ht="13.5" customHeight="1">
      <c r="D686" s="7"/>
      <c r="E686" s="7"/>
      <c r="F686" s="7"/>
      <c r="G686" s="7"/>
      <c r="H686" s="7"/>
    </row>
    <row r="687" spans="4:8" ht="13.5" customHeight="1">
      <c r="D687" s="7"/>
      <c r="E687" s="7"/>
      <c r="F687" s="7"/>
      <c r="G687" s="7"/>
      <c r="H687" s="7"/>
    </row>
    <row r="688" spans="4:8" ht="13.5" customHeight="1">
      <c r="D688" s="7"/>
      <c r="E688" s="7"/>
      <c r="F688" s="7"/>
      <c r="G688" s="7"/>
      <c r="H688" s="7"/>
    </row>
    <row r="689" spans="4:8" ht="13.5" customHeight="1">
      <c r="D689" s="7"/>
      <c r="E689" s="7"/>
      <c r="F689" s="7"/>
      <c r="G689" s="7"/>
      <c r="H689" s="7"/>
    </row>
    <row r="690" spans="4:8" ht="13.5" customHeight="1">
      <c r="D690" s="7"/>
      <c r="E690" s="7"/>
      <c r="F690" s="7"/>
      <c r="G690" s="7"/>
      <c r="H690" s="7"/>
    </row>
    <row r="691" spans="4:8" ht="13.5" customHeight="1">
      <c r="D691" s="7"/>
      <c r="E691" s="7"/>
      <c r="F691" s="7"/>
      <c r="G691" s="7"/>
      <c r="H691" s="7"/>
    </row>
    <row r="692" spans="4:8" ht="13.5" customHeight="1">
      <c r="D692" s="7"/>
      <c r="E692" s="7"/>
      <c r="F692" s="7"/>
      <c r="G692" s="7"/>
      <c r="H692" s="7"/>
    </row>
    <row r="693" spans="4:8" ht="13.5" customHeight="1">
      <c r="D693" s="7"/>
      <c r="E693" s="7"/>
      <c r="F693" s="7"/>
      <c r="G693" s="7"/>
      <c r="H693" s="7"/>
    </row>
    <row r="694" spans="4:8" ht="13.5" customHeight="1">
      <c r="D694" s="7"/>
      <c r="E694" s="7"/>
      <c r="F694" s="7"/>
      <c r="G694" s="7"/>
      <c r="H694" s="7"/>
    </row>
    <row r="695" spans="4:8" ht="13.5" customHeight="1">
      <c r="D695" s="7"/>
      <c r="E695" s="7"/>
      <c r="F695" s="7"/>
      <c r="G695" s="7"/>
      <c r="H695" s="7"/>
    </row>
    <row r="696" spans="4:8" ht="13.5" customHeight="1">
      <c r="D696" s="7"/>
      <c r="E696" s="7"/>
      <c r="F696" s="7"/>
      <c r="G696" s="7"/>
      <c r="H696" s="7"/>
    </row>
    <row r="697" spans="4:8" ht="13.5" customHeight="1">
      <c r="D697" s="7"/>
      <c r="E697" s="7"/>
      <c r="F697" s="7"/>
      <c r="G697" s="7"/>
      <c r="H697" s="7"/>
    </row>
    <row r="698" spans="4:8" ht="13.5" customHeight="1">
      <c r="D698" s="7"/>
      <c r="E698" s="7"/>
      <c r="F698" s="7"/>
      <c r="G698" s="7"/>
      <c r="H698" s="7"/>
    </row>
    <row r="699" spans="4:8" ht="13.5" customHeight="1">
      <c r="D699" s="7"/>
      <c r="E699" s="7"/>
      <c r="F699" s="7"/>
      <c r="G699" s="7"/>
      <c r="H699" s="7"/>
    </row>
    <row r="700" spans="4:8" ht="13.5" customHeight="1">
      <c r="D700" s="7"/>
      <c r="E700" s="7"/>
      <c r="F700" s="7"/>
      <c r="G700" s="7"/>
      <c r="H700" s="7"/>
    </row>
    <row r="701" spans="4:8" ht="13.5" customHeight="1">
      <c r="D701" s="7"/>
      <c r="E701" s="7"/>
      <c r="F701" s="7"/>
      <c r="G701" s="7"/>
      <c r="H701" s="7"/>
    </row>
    <row r="702" spans="4:8" ht="13.5" customHeight="1">
      <c r="D702" s="7"/>
      <c r="E702" s="7"/>
      <c r="F702" s="7"/>
      <c r="G702" s="7"/>
      <c r="H702" s="7"/>
    </row>
    <row r="703" spans="4:8" ht="13.5" customHeight="1">
      <c r="D703" s="7"/>
      <c r="E703" s="7"/>
      <c r="F703" s="7"/>
      <c r="G703" s="7"/>
      <c r="H703" s="7"/>
    </row>
    <row r="704" spans="4:8" ht="13.5" customHeight="1">
      <c r="D704" s="7"/>
      <c r="E704" s="7"/>
      <c r="F704" s="7"/>
      <c r="G704" s="7"/>
      <c r="H704" s="7"/>
    </row>
    <row r="705" spans="4:8" ht="13.5" customHeight="1">
      <c r="D705" s="7"/>
      <c r="E705" s="7"/>
      <c r="F705" s="7"/>
      <c r="G705" s="7"/>
      <c r="H705" s="7"/>
    </row>
    <row r="706" spans="4:8" ht="13.5" customHeight="1">
      <c r="D706" s="7"/>
      <c r="E706" s="7"/>
      <c r="F706" s="7"/>
      <c r="G706" s="7"/>
      <c r="H706" s="7"/>
    </row>
    <row r="707" spans="4:8" ht="13.5" customHeight="1">
      <c r="D707" s="7"/>
      <c r="E707" s="7"/>
      <c r="F707" s="7"/>
      <c r="G707" s="7"/>
      <c r="H707" s="7"/>
    </row>
    <row r="708" spans="4:8" ht="13.5" customHeight="1">
      <c r="D708" s="7"/>
      <c r="E708" s="7"/>
      <c r="F708" s="7"/>
      <c r="G708" s="7"/>
      <c r="H708" s="7"/>
    </row>
    <row r="709" spans="4:8" ht="13.5" customHeight="1">
      <c r="D709" s="7"/>
      <c r="E709" s="7"/>
      <c r="F709" s="7"/>
      <c r="G709" s="7"/>
      <c r="H709" s="7"/>
    </row>
    <row r="710" spans="4:8" ht="13.5" customHeight="1">
      <c r="D710" s="7"/>
      <c r="E710" s="7"/>
      <c r="F710" s="7"/>
      <c r="G710" s="7"/>
      <c r="H710" s="7"/>
    </row>
    <row r="711" spans="4:8" ht="13.5" customHeight="1">
      <c r="D711" s="7"/>
      <c r="E711" s="7"/>
      <c r="F711" s="7"/>
      <c r="G711" s="7"/>
      <c r="H711" s="7"/>
    </row>
    <row r="712" spans="4:8" ht="13.5" customHeight="1">
      <c r="D712" s="7"/>
      <c r="E712" s="7"/>
      <c r="F712" s="7"/>
      <c r="G712" s="7"/>
      <c r="H712" s="7"/>
    </row>
    <row r="713" spans="4:8" ht="13.5" customHeight="1">
      <c r="D713" s="7"/>
      <c r="E713" s="7"/>
      <c r="F713" s="7"/>
      <c r="G713" s="7"/>
      <c r="H713" s="7"/>
    </row>
    <row r="714" spans="4:8" ht="13.5" customHeight="1">
      <c r="D714" s="7"/>
      <c r="E714" s="7"/>
      <c r="F714" s="7"/>
      <c r="G714" s="7"/>
      <c r="H714" s="7"/>
    </row>
    <row r="715" spans="4:8" ht="13.5" customHeight="1">
      <c r="D715" s="7"/>
      <c r="E715" s="7"/>
      <c r="F715" s="7"/>
      <c r="G715" s="7"/>
      <c r="H715" s="7"/>
    </row>
    <row r="716" spans="4:8" ht="13.5" customHeight="1">
      <c r="D716" s="7"/>
      <c r="E716" s="7"/>
      <c r="F716" s="7"/>
      <c r="G716" s="7"/>
      <c r="H716" s="7"/>
    </row>
    <row r="717" spans="4:8" ht="13.5" customHeight="1">
      <c r="D717" s="7"/>
      <c r="E717" s="7"/>
      <c r="F717" s="7"/>
      <c r="G717" s="7"/>
      <c r="H717" s="7"/>
    </row>
    <row r="718" spans="4:8" ht="13.5" customHeight="1">
      <c r="D718" s="7"/>
      <c r="E718" s="7"/>
      <c r="F718" s="7"/>
      <c r="G718" s="7"/>
      <c r="H718" s="7"/>
    </row>
    <row r="719" spans="4:8" ht="13.5" customHeight="1">
      <c r="D719" s="7"/>
      <c r="E719" s="7"/>
      <c r="F719" s="7"/>
      <c r="G719" s="7"/>
      <c r="H719" s="7"/>
    </row>
    <row r="720" spans="4:8" ht="13.5" customHeight="1">
      <c r="D720" s="7"/>
      <c r="E720" s="7"/>
      <c r="F720" s="7"/>
      <c r="G720" s="7"/>
      <c r="H720" s="7"/>
    </row>
    <row r="721" spans="4:8" ht="13.5" customHeight="1">
      <c r="D721" s="7"/>
      <c r="E721" s="7"/>
      <c r="F721" s="7"/>
      <c r="G721" s="7"/>
      <c r="H721" s="7"/>
    </row>
    <row r="722" spans="4:8" ht="13.5" customHeight="1">
      <c r="D722" s="7"/>
      <c r="E722" s="7"/>
      <c r="F722" s="7"/>
      <c r="G722" s="7"/>
      <c r="H722" s="7"/>
    </row>
    <row r="723" spans="4:8" ht="13.5" customHeight="1">
      <c r="D723" s="7"/>
      <c r="E723" s="7"/>
      <c r="F723" s="7"/>
      <c r="G723" s="7"/>
      <c r="H723" s="7"/>
    </row>
    <row r="724" spans="4:8" ht="13.5" customHeight="1">
      <c r="D724" s="7"/>
      <c r="E724" s="7"/>
      <c r="F724" s="7"/>
      <c r="G724" s="7"/>
      <c r="H724" s="7"/>
    </row>
    <row r="725" spans="4:8" ht="13.5" customHeight="1">
      <c r="D725" s="7"/>
      <c r="E725" s="7"/>
      <c r="F725" s="7"/>
      <c r="G725" s="7"/>
      <c r="H725" s="7"/>
    </row>
    <row r="726" spans="4:8" ht="13.5" customHeight="1">
      <c r="D726" s="7"/>
      <c r="E726" s="7"/>
      <c r="F726" s="7"/>
      <c r="G726" s="7"/>
      <c r="H726" s="7"/>
    </row>
    <row r="727" spans="4:8" ht="13.5" customHeight="1">
      <c r="D727" s="7"/>
      <c r="E727" s="7"/>
      <c r="F727" s="7"/>
      <c r="G727" s="7"/>
      <c r="H727" s="7"/>
    </row>
    <row r="728" spans="4:8" ht="13.5" customHeight="1">
      <c r="D728" s="7"/>
      <c r="E728" s="7"/>
      <c r="F728" s="7"/>
      <c r="G728" s="7"/>
      <c r="H728" s="7"/>
    </row>
    <row r="729" spans="4:8" ht="13.5" customHeight="1">
      <c r="D729" s="7"/>
      <c r="E729" s="7"/>
      <c r="F729" s="7"/>
      <c r="G729" s="7"/>
      <c r="H729" s="7"/>
    </row>
    <row r="730" spans="4:8" ht="13.5" customHeight="1">
      <c r="D730" s="7"/>
      <c r="E730" s="7"/>
      <c r="F730" s="7"/>
      <c r="G730" s="7"/>
      <c r="H730" s="7"/>
    </row>
    <row r="731" spans="4:8" ht="13.5" customHeight="1">
      <c r="D731" s="7"/>
      <c r="E731" s="7"/>
      <c r="F731" s="7"/>
      <c r="G731" s="7"/>
      <c r="H731" s="7"/>
    </row>
    <row r="732" spans="4:8" ht="13.5" customHeight="1">
      <c r="D732" s="7"/>
      <c r="E732" s="7"/>
      <c r="F732" s="7"/>
      <c r="G732" s="7"/>
      <c r="H732" s="7"/>
    </row>
    <row r="733" spans="4:8" ht="13.5" customHeight="1">
      <c r="D733" s="7"/>
      <c r="E733" s="7"/>
      <c r="F733" s="7"/>
      <c r="G733" s="7"/>
      <c r="H733" s="7"/>
    </row>
    <row r="734" spans="4:8" ht="13.5" customHeight="1">
      <c r="D734" s="7"/>
      <c r="E734" s="7"/>
      <c r="F734" s="7"/>
      <c r="G734" s="7"/>
      <c r="H734" s="7"/>
    </row>
    <row r="735" spans="4:8" ht="13.5" customHeight="1">
      <c r="D735" s="7"/>
      <c r="E735" s="7"/>
      <c r="F735" s="7"/>
      <c r="G735" s="7"/>
      <c r="H735" s="7"/>
    </row>
    <row r="736" spans="4:8" ht="13.5" customHeight="1">
      <c r="D736" s="7"/>
      <c r="E736" s="7"/>
      <c r="F736" s="7"/>
      <c r="G736" s="7"/>
      <c r="H736" s="7"/>
    </row>
    <row r="737" spans="4:8" ht="13.5" customHeight="1">
      <c r="D737" s="7"/>
      <c r="E737" s="7"/>
      <c r="F737" s="7"/>
      <c r="G737" s="7"/>
      <c r="H737" s="7"/>
    </row>
    <row r="738" spans="4:8" ht="13.5" customHeight="1">
      <c r="D738" s="7"/>
      <c r="E738" s="7"/>
      <c r="F738" s="7"/>
      <c r="G738" s="7"/>
      <c r="H738" s="7"/>
    </row>
    <row r="739" spans="4:8" ht="13.5" customHeight="1">
      <c r="D739" s="7"/>
      <c r="E739" s="7"/>
      <c r="F739" s="7"/>
      <c r="G739" s="7"/>
      <c r="H739" s="7"/>
    </row>
    <row r="740" spans="4:8" ht="13.5" customHeight="1">
      <c r="D740" s="7"/>
      <c r="E740" s="7"/>
      <c r="F740" s="7"/>
      <c r="G740" s="7"/>
      <c r="H740" s="7"/>
    </row>
    <row r="741" spans="4:8" ht="13.5" customHeight="1">
      <c r="D741" s="7"/>
      <c r="E741" s="7"/>
      <c r="F741" s="7"/>
      <c r="G741" s="7"/>
      <c r="H741" s="7"/>
    </row>
    <row r="742" spans="4:8" ht="13.5" customHeight="1">
      <c r="D742" s="7"/>
      <c r="E742" s="7"/>
      <c r="F742" s="7"/>
      <c r="G742" s="7"/>
      <c r="H742" s="7"/>
    </row>
    <row r="743" spans="4:8" ht="13.5" customHeight="1">
      <c r="D743" s="7"/>
      <c r="E743" s="7"/>
      <c r="F743" s="7"/>
      <c r="G743" s="7"/>
      <c r="H743" s="7"/>
    </row>
    <row r="744" spans="4:8" ht="13.5" customHeight="1">
      <c r="D744" s="7"/>
      <c r="E744" s="7"/>
      <c r="F744" s="7"/>
      <c r="G744" s="7"/>
      <c r="H744" s="7"/>
    </row>
    <row r="745" spans="4:8" ht="13.5" customHeight="1">
      <c r="D745" s="7"/>
      <c r="E745" s="7"/>
      <c r="F745" s="7"/>
      <c r="G745" s="7"/>
      <c r="H745" s="7"/>
    </row>
    <row r="746" spans="4:8" ht="13.5" customHeight="1">
      <c r="D746" s="7"/>
      <c r="E746" s="7"/>
      <c r="F746" s="7"/>
      <c r="G746" s="7"/>
      <c r="H746" s="7"/>
    </row>
    <row r="747" spans="4:8" ht="13.5" customHeight="1">
      <c r="D747" s="7"/>
      <c r="E747" s="7"/>
      <c r="F747" s="7"/>
      <c r="G747" s="7"/>
      <c r="H747" s="7"/>
    </row>
    <row r="748" spans="4:8" ht="13.5" customHeight="1">
      <c r="D748" s="7"/>
      <c r="E748" s="7"/>
      <c r="F748" s="7"/>
      <c r="G748" s="7"/>
      <c r="H748" s="7"/>
    </row>
    <row r="749" spans="4:8" ht="13.5" customHeight="1">
      <c r="D749" s="7"/>
      <c r="E749" s="7"/>
      <c r="F749" s="7"/>
      <c r="G749" s="7"/>
      <c r="H749" s="7"/>
    </row>
    <row r="750" spans="4:8" ht="13.5" customHeight="1">
      <c r="D750" s="7"/>
      <c r="E750" s="7"/>
      <c r="F750" s="7"/>
      <c r="G750" s="7"/>
      <c r="H750" s="7"/>
    </row>
    <row r="751" spans="4:8" ht="13.5" customHeight="1">
      <c r="D751" s="7"/>
      <c r="E751" s="7"/>
      <c r="F751" s="7"/>
      <c r="G751" s="7"/>
      <c r="H751" s="7"/>
    </row>
    <row r="752" spans="4:8" ht="13.5" customHeight="1">
      <c r="D752" s="7"/>
      <c r="E752" s="7"/>
      <c r="F752" s="7"/>
      <c r="G752" s="7"/>
      <c r="H752" s="7"/>
    </row>
    <row r="753" spans="4:8" ht="13.5" customHeight="1">
      <c r="D753" s="7"/>
      <c r="E753" s="7"/>
      <c r="F753" s="7"/>
      <c r="G753" s="7"/>
      <c r="H753" s="7"/>
    </row>
    <row r="754" spans="4:8" ht="13.5" customHeight="1">
      <c r="D754" s="7"/>
      <c r="E754" s="7"/>
      <c r="F754" s="7"/>
      <c r="G754" s="7"/>
      <c r="H754" s="7"/>
    </row>
    <row r="755" spans="4:8" ht="13.5" customHeight="1">
      <c r="D755" s="7"/>
      <c r="E755" s="7"/>
      <c r="F755" s="7"/>
      <c r="G755" s="7"/>
      <c r="H755" s="7"/>
    </row>
    <row r="756" spans="4:8" ht="13.5" customHeight="1">
      <c r="D756" s="7"/>
      <c r="E756" s="7"/>
      <c r="F756" s="7"/>
      <c r="G756" s="7"/>
      <c r="H756" s="7"/>
    </row>
    <row r="757" spans="4:8" ht="13.5" customHeight="1">
      <c r="D757" s="7"/>
      <c r="E757" s="7"/>
      <c r="F757" s="7"/>
      <c r="G757" s="7"/>
      <c r="H757" s="7"/>
    </row>
    <row r="758" spans="4:8" ht="13.5" customHeight="1">
      <c r="D758" s="7"/>
      <c r="E758" s="7"/>
      <c r="F758" s="7"/>
      <c r="G758" s="7"/>
      <c r="H758" s="7"/>
    </row>
    <row r="759" spans="4:8" ht="13.5" customHeight="1">
      <c r="D759" s="7"/>
      <c r="E759" s="7"/>
      <c r="F759" s="7"/>
      <c r="G759" s="7"/>
      <c r="H759" s="7"/>
    </row>
    <row r="760" spans="4:8" ht="13.5" customHeight="1">
      <c r="D760" s="7"/>
      <c r="E760" s="7"/>
      <c r="F760" s="7"/>
      <c r="G760" s="7"/>
      <c r="H760" s="7"/>
    </row>
    <row r="761" spans="4:8" ht="13.5" customHeight="1">
      <c r="D761" s="7"/>
      <c r="E761" s="7"/>
      <c r="F761" s="7"/>
      <c r="G761" s="7"/>
      <c r="H761" s="7"/>
    </row>
    <row r="762" spans="4:8" ht="13.5" customHeight="1">
      <c r="D762" s="7"/>
      <c r="E762" s="7"/>
      <c r="F762" s="7"/>
      <c r="G762" s="7"/>
      <c r="H762" s="7"/>
    </row>
    <row r="763" spans="4:8" ht="13.5" customHeight="1">
      <c r="D763" s="7"/>
      <c r="E763" s="7"/>
      <c r="F763" s="7"/>
      <c r="G763" s="7"/>
      <c r="H763" s="7"/>
    </row>
    <row r="764" spans="4:8" ht="13.5" customHeight="1">
      <c r="D764" s="7"/>
      <c r="E764" s="7"/>
      <c r="F764" s="7"/>
      <c r="G764" s="7"/>
      <c r="H764" s="7"/>
    </row>
    <row r="765" spans="4:8" ht="13.5" customHeight="1">
      <c r="D765" s="7"/>
      <c r="E765" s="7"/>
      <c r="F765" s="7"/>
      <c r="G765" s="7"/>
      <c r="H765" s="7"/>
    </row>
    <row r="766" spans="4:8" ht="13.5" customHeight="1">
      <c r="D766" s="7"/>
      <c r="E766" s="7"/>
      <c r="F766" s="7"/>
      <c r="G766" s="7"/>
      <c r="H766" s="7"/>
    </row>
    <row r="767" spans="4:8" ht="13.5" customHeight="1">
      <c r="D767" s="7"/>
      <c r="E767" s="7"/>
      <c r="F767" s="7"/>
      <c r="G767" s="7"/>
      <c r="H767" s="7"/>
    </row>
    <row r="768" spans="4:8" ht="13.5" customHeight="1">
      <c r="D768" s="7"/>
      <c r="E768" s="7"/>
      <c r="F768" s="7"/>
      <c r="G768" s="7"/>
      <c r="H768" s="7"/>
    </row>
    <row r="769" spans="4:8" ht="13.5" customHeight="1">
      <c r="D769" s="7"/>
      <c r="E769" s="7"/>
      <c r="F769" s="7"/>
      <c r="G769" s="7"/>
      <c r="H769" s="7"/>
    </row>
    <row r="770" spans="4:8" ht="13.5" customHeight="1">
      <c r="D770" s="7"/>
      <c r="E770" s="7"/>
      <c r="F770" s="7"/>
      <c r="G770" s="7"/>
      <c r="H770" s="7"/>
    </row>
    <row r="771" spans="4:8" ht="13.5" customHeight="1">
      <c r="D771" s="7"/>
      <c r="E771" s="7"/>
      <c r="F771" s="7"/>
      <c r="G771" s="7"/>
      <c r="H771" s="7"/>
    </row>
    <row r="772" spans="4:8" ht="13.5" customHeight="1">
      <c r="D772" s="7"/>
      <c r="E772" s="7"/>
      <c r="F772" s="7"/>
      <c r="G772" s="7"/>
      <c r="H772" s="7"/>
    </row>
    <row r="773" spans="4:8" ht="13.5" customHeight="1">
      <c r="D773" s="7"/>
      <c r="E773" s="7"/>
      <c r="F773" s="7"/>
      <c r="G773" s="7"/>
      <c r="H773" s="7"/>
    </row>
    <row r="774" spans="4:8" ht="13.5" customHeight="1">
      <c r="D774" s="7"/>
      <c r="E774" s="7"/>
      <c r="F774" s="7"/>
      <c r="G774" s="7"/>
      <c r="H774" s="7"/>
    </row>
    <row r="775" spans="4:8" ht="13.5" customHeight="1">
      <c r="D775" s="7"/>
      <c r="E775" s="7"/>
      <c r="F775" s="7"/>
      <c r="G775" s="7"/>
      <c r="H775" s="7"/>
    </row>
    <row r="776" spans="4:8" ht="13.5" customHeight="1">
      <c r="D776" s="7"/>
      <c r="E776" s="7"/>
      <c r="F776" s="7"/>
      <c r="G776" s="7"/>
      <c r="H776" s="7"/>
    </row>
    <row r="777" spans="4:8" ht="13.5" customHeight="1">
      <c r="D777" s="7"/>
      <c r="E777" s="7"/>
      <c r="F777" s="7"/>
      <c r="G777" s="7"/>
      <c r="H777" s="7"/>
    </row>
    <row r="778" spans="4:8" ht="13.5" customHeight="1">
      <c r="D778" s="7"/>
      <c r="E778" s="7"/>
      <c r="F778" s="7"/>
      <c r="G778" s="7"/>
      <c r="H778" s="7"/>
    </row>
    <row r="779" spans="4:8" ht="13.5" customHeight="1">
      <c r="D779" s="7"/>
      <c r="E779" s="7"/>
      <c r="F779" s="7"/>
      <c r="G779" s="7"/>
      <c r="H779" s="7"/>
    </row>
    <row r="780" spans="4:8" ht="13.5" customHeight="1">
      <c r="D780" s="7"/>
      <c r="E780" s="7"/>
      <c r="F780" s="7"/>
      <c r="G780" s="7"/>
      <c r="H780" s="7"/>
    </row>
    <row r="781" spans="4:8" ht="13.5" customHeight="1">
      <c r="D781" s="7"/>
      <c r="E781" s="7"/>
      <c r="F781" s="7"/>
      <c r="G781" s="7"/>
      <c r="H781" s="7"/>
    </row>
    <row r="782" spans="4:8" ht="13.5" customHeight="1">
      <c r="D782" s="7"/>
      <c r="E782" s="7"/>
      <c r="F782" s="7"/>
      <c r="G782" s="7"/>
      <c r="H782" s="7"/>
    </row>
    <row r="783" spans="4:8" ht="13.5" customHeight="1">
      <c r="D783" s="7"/>
      <c r="E783" s="7"/>
      <c r="F783" s="7"/>
      <c r="G783" s="7"/>
      <c r="H783" s="7"/>
    </row>
    <row r="784" spans="4:8" ht="13.5" customHeight="1">
      <c r="D784" s="7"/>
      <c r="E784" s="7"/>
      <c r="F784" s="7"/>
      <c r="G784" s="7"/>
      <c r="H784" s="7"/>
    </row>
    <row r="785" spans="4:8" ht="13.5" customHeight="1">
      <c r="D785" s="7"/>
      <c r="E785" s="7"/>
      <c r="F785" s="7"/>
      <c r="G785" s="7"/>
      <c r="H785" s="7"/>
    </row>
    <row r="786" spans="4:8" ht="13.5" customHeight="1">
      <c r="D786" s="7"/>
      <c r="E786" s="7"/>
      <c r="F786" s="7"/>
      <c r="G786" s="7"/>
      <c r="H786" s="7"/>
    </row>
    <row r="787" spans="4:8" ht="13.5" customHeight="1">
      <c r="D787" s="7"/>
      <c r="E787" s="7"/>
      <c r="F787" s="7"/>
      <c r="G787" s="7"/>
      <c r="H787" s="7"/>
    </row>
    <row r="788" spans="4:8" ht="13.5" customHeight="1">
      <c r="D788" s="7"/>
      <c r="E788" s="7"/>
      <c r="F788" s="7"/>
      <c r="G788" s="7"/>
      <c r="H788" s="7"/>
    </row>
    <row r="789" spans="4:8" ht="13.5" customHeight="1">
      <c r="D789" s="7"/>
      <c r="E789" s="7"/>
      <c r="F789" s="7"/>
      <c r="G789" s="7"/>
      <c r="H789" s="7"/>
    </row>
    <row r="790" spans="4:8" ht="13.5" customHeight="1">
      <c r="D790" s="7"/>
      <c r="E790" s="7"/>
      <c r="F790" s="7"/>
      <c r="G790" s="7"/>
      <c r="H790" s="7"/>
    </row>
    <row r="791" spans="4:8" ht="13.5" customHeight="1">
      <c r="D791" s="7"/>
      <c r="E791" s="7"/>
      <c r="F791" s="7"/>
      <c r="G791" s="7"/>
      <c r="H791" s="7"/>
    </row>
    <row r="792" spans="4:8" ht="13.5" customHeight="1">
      <c r="D792" s="7"/>
      <c r="E792" s="7"/>
      <c r="F792" s="7"/>
      <c r="G792" s="7"/>
      <c r="H792" s="7"/>
    </row>
    <row r="793" spans="4:8" ht="13.5" customHeight="1">
      <c r="D793" s="7"/>
      <c r="E793" s="7"/>
      <c r="F793" s="7"/>
      <c r="G793" s="7"/>
      <c r="H793" s="7"/>
    </row>
    <row r="794" spans="4:8" ht="13.5" customHeight="1">
      <c r="D794" s="7"/>
      <c r="E794" s="7"/>
      <c r="F794" s="7"/>
      <c r="G794" s="7"/>
      <c r="H794" s="7"/>
    </row>
    <row r="795" spans="4:8" ht="13.5" customHeight="1">
      <c r="D795" s="7"/>
      <c r="E795" s="7"/>
      <c r="F795" s="7"/>
      <c r="G795" s="7"/>
      <c r="H795" s="7"/>
    </row>
    <row r="796" spans="4:8" ht="13.5" customHeight="1">
      <c r="D796" s="7"/>
      <c r="E796" s="7"/>
      <c r="F796" s="7"/>
      <c r="G796" s="7"/>
      <c r="H796" s="7"/>
    </row>
    <row r="797" spans="4:8" ht="13.5" customHeight="1">
      <c r="D797" s="7"/>
      <c r="E797" s="7"/>
      <c r="F797" s="7"/>
      <c r="G797" s="7"/>
      <c r="H797" s="7"/>
    </row>
    <row r="798" spans="4:8" ht="13.5" customHeight="1">
      <c r="D798" s="7"/>
      <c r="E798" s="7"/>
      <c r="F798" s="7"/>
      <c r="G798" s="7"/>
      <c r="H798" s="7"/>
    </row>
    <row r="799" spans="4:8" ht="13.5" customHeight="1">
      <c r="D799" s="7"/>
      <c r="E799" s="7"/>
      <c r="F799" s="7"/>
      <c r="G799" s="7"/>
      <c r="H799" s="7"/>
    </row>
    <row r="800" spans="4:8" ht="13.5" customHeight="1">
      <c r="D800" s="7"/>
      <c r="E800" s="7"/>
      <c r="F800" s="7"/>
      <c r="G800" s="7"/>
      <c r="H800" s="7"/>
    </row>
    <row r="801" spans="4:8" ht="13.5" customHeight="1">
      <c r="D801" s="7"/>
      <c r="E801" s="7"/>
      <c r="F801" s="7"/>
      <c r="G801" s="7"/>
      <c r="H801" s="7"/>
    </row>
    <row r="802" spans="4:8" ht="13.5" customHeight="1">
      <c r="D802" s="7"/>
      <c r="E802" s="7"/>
      <c r="F802" s="7"/>
      <c r="G802" s="7"/>
      <c r="H802" s="7"/>
    </row>
    <row r="803" spans="4:8" ht="13.5" customHeight="1">
      <c r="D803" s="7"/>
      <c r="E803" s="7"/>
      <c r="F803" s="7"/>
      <c r="G803" s="7"/>
      <c r="H803" s="7"/>
    </row>
    <row r="804" spans="4:8" ht="13.5" customHeight="1">
      <c r="D804" s="7"/>
      <c r="E804" s="7"/>
      <c r="F804" s="7"/>
      <c r="G804" s="7"/>
      <c r="H804" s="7"/>
    </row>
    <row r="805" spans="4:8" ht="13.5" customHeight="1">
      <c r="D805" s="7"/>
      <c r="E805" s="7"/>
      <c r="F805" s="7"/>
      <c r="G805" s="7"/>
      <c r="H805" s="7"/>
    </row>
    <row r="806" spans="4:8" ht="13.5" customHeight="1">
      <c r="D806" s="7"/>
      <c r="E806" s="7"/>
      <c r="F806" s="7"/>
      <c r="G806" s="7"/>
      <c r="H806" s="7"/>
    </row>
    <row r="807" spans="4:8" ht="13.5" customHeight="1">
      <c r="D807" s="7"/>
      <c r="E807" s="7"/>
      <c r="F807" s="7"/>
      <c r="G807" s="7"/>
      <c r="H807" s="7"/>
    </row>
    <row r="808" spans="4:8" ht="13.5" customHeight="1">
      <c r="D808" s="7"/>
      <c r="E808" s="7"/>
      <c r="F808" s="7"/>
      <c r="G808" s="7"/>
      <c r="H808" s="7"/>
    </row>
    <row r="809" spans="4:8" ht="13.5" customHeight="1">
      <c r="D809" s="7"/>
      <c r="E809" s="7"/>
      <c r="F809" s="7"/>
      <c r="G809" s="7"/>
      <c r="H809" s="7"/>
    </row>
    <row r="810" spans="4:8" ht="13.5" customHeight="1">
      <c r="D810" s="7"/>
      <c r="E810" s="7"/>
      <c r="F810" s="7"/>
      <c r="G810" s="7"/>
      <c r="H810" s="7"/>
    </row>
    <row r="811" spans="4:8" ht="13.5" customHeight="1">
      <c r="D811" s="7"/>
      <c r="E811" s="7"/>
      <c r="F811" s="7"/>
      <c r="G811" s="7"/>
      <c r="H811" s="7"/>
    </row>
    <row r="812" spans="4:8" ht="13.5" customHeight="1">
      <c r="D812" s="7"/>
      <c r="E812" s="7"/>
      <c r="F812" s="7"/>
      <c r="G812" s="7"/>
      <c r="H812" s="7"/>
    </row>
    <row r="813" spans="4:8" ht="13.5" customHeight="1">
      <c r="D813" s="7"/>
      <c r="E813" s="7"/>
      <c r="F813" s="7"/>
      <c r="G813" s="7"/>
      <c r="H813" s="7"/>
    </row>
    <row r="814" spans="4:8" ht="13.5" customHeight="1">
      <c r="D814" s="7"/>
      <c r="E814" s="7"/>
      <c r="F814" s="7"/>
      <c r="G814" s="7"/>
      <c r="H814" s="7"/>
    </row>
    <row r="815" spans="4:8" ht="13.5" customHeight="1">
      <c r="D815" s="7"/>
      <c r="E815" s="7"/>
      <c r="F815" s="7"/>
      <c r="G815" s="7"/>
      <c r="H815" s="7"/>
    </row>
    <row r="816" spans="4:8" ht="13.5" customHeight="1">
      <c r="D816" s="7"/>
      <c r="E816" s="7"/>
      <c r="F816" s="7"/>
      <c r="G816" s="7"/>
      <c r="H816" s="7"/>
    </row>
    <row r="817" spans="4:8" ht="13.5" customHeight="1">
      <c r="D817" s="7"/>
      <c r="E817" s="7"/>
      <c r="F817" s="7"/>
      <c r="G817" s="7"/>
      <c r="H817" s="7"/>
    </row>
    <row r="818" spans="4:8" ht="13.5" customHeight="1">
      <c r="D818" s="7"/>
      <c r="E818" s="7"/>
      <c r="F818" s="7"/>
      <c r="G818" s="7"/>
      <c r="H818" s="7"/>
    </row>
    <row r="819" spans="4:8" ht="13.5" customHeight="1">
      <c r="D819" s="7"/>
      <c r="E819" s="7"/>
      <c r="F819" s="7"/>
      <c r="G819" s="7"/>
      <c r="H819" s="7"/>
    </row>
    <row r="820" spans="4:8" ht="13.5" customHeight="1">
      <c r="D820" s="7"/>
      <c r="E820" s="7"/>
      <c r="F820" s="7"/>
      <c r="G820" s="7"/>
      <c r="H820" s="7"/>
    </row>
    <row r="821" spans="4:8" ht="13.5" customHeight="1">
      <c r="D821" s="7"/>
      <c r="E821" s="7"/>
      <c r="F821" s="7"/>
      <c r="G821" s="7"/>
      <c r="H821" s="7"/>
    </row>
    <row r="822" spans="4:8" ht="13.5" customHeight="1">
      <c r="D822" s="7"/>
      <c r="E822" s="7"/>
      <c r="F822" s="7"/>
      <c r="G822" s="7"/>
      <c r="H822" s="7"/>
    </row>
    <row r="823" spans="4:8" ht="13.5" customHeight="1">
      <c r="D823" s="7"/>
      <c r="E823" s="7"/>
      <c r="F823" s="7"/>
      <c r="G823" s="7"/>
      <c r="H823" s="7"/>
    </row>
    <row r="824" spans="4:8" ht="13.5" customHeight="1">
      <c r="D824" s="7"/>
      <c r="E824" s="7"/>
      <c r="F824" s="7"/>
      <c r="G824" s="7"/>
      <c r="H824" s="7"/>
    </row>
    <row r="825" spans="4:8" ht="13.5" customHeight="1">
      <c r="D825" s="7"/>
      <c r="E825" s="7"/>
      <c r="F825" s="7"/>
      <c r="G825" s="7"/>
      <c r="H825" s="7"/>
    </row>
    <row r="826" spans="4:8" ht="13.5" customHeight="1">
      <c r="D826" s="7"/>
      <c r="E826" s="7"/>
      <c r="F826" s="7"/>
      <c r="G826" s="7"/>
      <c r="H826" s="7"/>
    </row>
    <row r="827" spans="4:8" ht="13.5" customHeight="1">
      <c r="D827" s="7"/>
      <c r="E827" s="7"/>
      <c r="F827" s="7"/>
      <c r="G827" s="7"/>
      <c r="H827" s="7"/>
    </row>
    <row r="828" spans="4:8" ht="13.5" customHeight="1">
      <c r="D828" s="7"/>
      <c r="E828" s="7"/>
      <c r="F828" s="7"/>
      <c r="G828" s="7"/>
      <c r="H828" s="7"/>
    </row>
    <row r="829" spans="4:8" ht="13.5" customHeight="1">
      <c r="D829" s="7"/>
      <c r="E829" s="7"/>
      <c r="F829" s="7"/>
      <c r="G829" s="7"/>
      <c r="H829" s="7"/>
    </row>
    <row r="830" spans="4:8" ht="13.5" customHeight="1">
      <c r="D830" s="7"/>
      <c r="E830" s="7"/>
      <c r="F830" s="7"/>
      <c r="G830" s="7"/>
      <c r="H830" s="7"/>
    </row>
    <row r="831" spans="4:8" ht="13.5" customHeight="1">
      <c r="D831" s="7"/>
      <c r="E831" s="7"/>
      <c r="F831" s="7"/>
      <c r="G831" s="7"/>
      <c r="H831" s="7"/>
    </row>
    <row r="832" spans="4:8" ht="13.5" customHeight="1">
      <c r="D832" s="7"/>
      <c r="E832" s="7"/>
      <c r="F832" s="7"/>
      <c r="G832" s="7"/>
      <c r="H832" s="7"/>
    </row>
    <row r="833" spans="4:8" ht="13.5" customHeight="1">
      <c r="D833" s="7"/>
      <c r="E833" s="7"/>
      <c r="F833" s="7"/>
      <c r="G833" s="7"/>
      <c r="H833" s="7"/>
    </row>
    <row r="834" spans="4:8" ht="13.5" customHeight="1">
      <c r="D834" s="7"/>
      <c r="E834" s="7"/>
      <c r="F834" s="7"/>
      <c r="G834" s="7"/>
      <c r="H834" s="7"/>
    </row>
    <row r="835" spans="4:8" ht="13.5" customHeight="1">
      <c r="D835" s="7"/>
      <c r="E835" s="7"/>
      <c r="F835" s="7"/>
      <c r="G835" s="7"/>
      <c r="H835" s="7"/>
    </row>
    <row r="836" spans="4:8" ht="13.5" customHeight="1">
      <c r="D836" s="7"/>
      <c r="E836" s="7"/>
      <c r="F836" s="7"/>
      <c r="G836" s="7"/>
      <c r="H836" s="7"/>
    </row>
    <row r="837" spans="4:8" ht="13.5" customHeight="1">
      <c r="D837" s="7"/>
      <c r="E837" s="7"/>
      <c r="F837" s="7"/>
      <c r="G837" s="7"/>
      <c r="H837" s="7"/>
    </row>
    <row r="838" spans="4:8" ht="13.5" customHeight="1">
      <c r="D838" s="7"/>
      <c r="E838" s="7"/>
      <c r="F838" s="7"/>
      <c r="G838" s="7"/>
      <c r="H838" s="7"/>
    </row>
    <row r="839" spans="4:8" ht="13.5" customHeight="1">
      <c r="D839" s="7"/>
      <c r="E839" s="7"/>
      <c r="F839" s="7"/>
      <c r="G839" s="7"/>
      <c r="H839" s="7"/>
    </row>
    <row r="840" spans="4:8" ht="13.5" customHeight="1">
      <c r="D840" s="7"/>
      <c r="E840" s="7"/>
      <c r="F840" s="7"/>
      <c r="G840" s="7"/>
      <c r="H840" s="7"/>
    </row>
    <row r="841" spans="4:8" ht="13.5" customHeight="1">
      <c r="D841" s="7"/>
      <c r="E841" s="7"/>
      <c r="F841" s="7"/>
      <c r="G841" s="7"/>
      <c r="H841" s="7"/>
    </row>
    <row r="842" spans="4:8" ht="13.5" customHeight="1">
      <c r="D842" s="7"/>
      <c r="E842" s="7"/>
      <c r="F842" s="7"/>
      <c r="G842" s="7"/>
      <c r="H842" s="7"/>
    </row>
    <row r="843" spans="4:8" ht="13.5" customHeight="1">
      <c r="D843" s="7"/>
      <c r="E843" s="7"/>
      <c r="F843" s="7"/>
      <c r="G843" s="7"/>
      <c r="H843" s="7"/>
    </row>
    <row r="844" spans="4:8" ht="13.5" customHeight="1">
      <c r="D844" s="7"/>
      <c r="E844" s="7"/>
      <c r="F844" s="7"/>
      <c r="G844" s="7"/>
      <c r="H844" s="7"/>
    </row>
    <row r="845" spans="4:8" ht="13.5" customHeight="1">
      <c r="D845" s="7"/>
      <c r="E845" s="7"/>
      <c r="F845" s="7"/>
      <c r="G845" s="7"/>
      <c r="H845" s="7"/>
    </row>
    <row r="846" spans="4:8" ht="13.5" customHeight="1">
      <c r="D846" s="7"/>
      <c r="E846" s="7"/>
      <c r="F846" s="7"/>
      <c r="G846" s="7"/>
      <c r="H846" s="7"/>
    </row>
    <row r="847" spans="4:8" ht="13.5" customHeight="1">
      <c r="D847" s="7"/>
      <c r="E847" s="7"/>
      <c r="F847" s="7"/>
      <c r="G847" s="7"/>
      <c r="H847" s="7"/>
    </row>
    <row r="848" spans="4:8" ht="13.5" customHeight="1">
      <c r="D848" s="7"/>
      <c r="E848" s="7"/>
      <c r="F848" s="7"/>
      <c r="G848" s="7"/>
      <c r="H848" s="7"/>
    </row>
    <row r="849" spans="4:8" ht="13.5" customHeight="1">
      <c r="D849" s="7"/>
      <c r="E849" s="7"/>
      <c r="F849" s="7"/>
      <c r="G849" s="7"/>
      <c r="H849" s="7"/>
    </row>
    <row r="850" spans="4:8" ht="13.5" customHeight="1">
      <c r="D850" s="7"/>
      <c r="E850" s="7"/>
      <c r="F850" s="7"/>
      <c r="G850" s="7"/>
      <c r="H850" s="7"/>
    </row>
    <row r="851" spans="4:8" ht="13.5" customHeight="1">
      <c r="D851" s="7"/>
      <c r="E851" s="7"/>
      <c r="F851" s="7"/>
      <c r="G851" s="7"/>
      <c r="H851" s="7"/>
    </row>
    <row r="852" spans="4:8" ht="13.5" customHeight="1">
      <c r="D852" s="7"/>
      <c r="E852" s="7"/>
      <c r="F852" s="7"/>
      <c r="G852" s="7"/>
      <c r="H852" s="7"/>
    </row>
    <row r="853" spans="4:8" ht="13.5" customHeight="1">
      <c r="D853" s="7"/>
      <c r="E853" s="7"/>
      <c r="F853" s="7"/>
      <c r="G853" s="7"/>
      <c r="H853" s="7"/>
    </row>
    <row r="854" spans="4:8" ht="13.5" customHeight="1">
      <c r="D854" s="7"/>
      <c r="E854" s="7"/>
      <c r="F854" s="7"/>
      <c r="G854" s="7"/>
      <c r="H854" s="7"/>
    </row>
    <row r="855" spans="4:8" ht="13.5" customHeight="1">
      <c r="D855" s="7"/>
      <c r="E855" s="7"/>
      <c r="F855" s="7"/>
      <c r="G855" s="7"/>
      <c r="H855" s="7"/>
    </row>
    <row r="856" spans="4:8" ht="13.5" customHeight="1">
      <c r="D856" s="7"/>
      <c r="E856" s="7"/>
      <c r="F856" s="7"/>
      <c r="G856" s="7"/>
      <c r="H856" s="7"/>
    </row>
    <row r="857" spans="4:8" ht="13.5" customHeight="1">
      <c r="D857" s="7"/>
      <c r="E857" s="7"/>
      <c r="F857" s="7"/>
      <c r="G857" s="7"/>
      <c r="H857" s="7"/>
    </row>
    <row r="858" spans="4:8" ht="13.5" customHeight="1">
      <c r="D858" s="7"/>
      <c r="E858" s="7"/>
      <c r="F858" s="7"/>
      <c r="G858" s="7"/>
      <c r="H858" s="7"/>
    </row>
    <row r="859" spans="4:8" ht="13.5" customHeight="1">
      <c r="D859" s="7"/>
      <c r="E859" s="7"/>
      <c r="F859" s="7"/>
      <c r="G859" s="7"/>
      <c r="H859" s="7"/>
    </row>
    <row r="860" spans="4:8" ht="13.5" customHeight="1">
      <c r="D860" s="7"/>
      <c r="E860" s="7"/>
      <c r="F860" s="7"/>
      <c r="G860" s="7"/>
      <c r="H860" s="7"/>
    </row>
    <row r="861" spans="4:8" ht="13.5" customHeight="1">
      <c r="D861" s="7"/>
      <c r="E861" s="7"/>
      <c r="F861" s="7"/>
      <c r="G861" s="7"/>
      <c r="H861" s="7"/>
    </row>
    <row r="862" spans="4:8" ht="13.5" customHeight="1">
      <c r="D862" s="7"/>
      <c r="E862" s="7"/>
      <c r="F862" s="7"/>
      <c r="G862" s="7"/>
      <c r="H862" s="7"/>
    </row>
    <row r="863" spans="4:8" ht="13.5" customHeight="1">
      <c r="D863" s="7"/>
      <c r="E863" s="7"/>
      <c r="F863" s="7"/>
      <c r="G863" s="7"/>
      <c r="H863" s="7"/>
    </row>
    <row r="864" spans="4:8" ht="13.5" customHeight="1">
      <c r="D864" s="7"/>
      <c r="E864" s="7"/>
      <c r="F864" s="7"/>
      <c r="G864" s="7"/>
      <c r="H864" s="7"/>
    </row>
    <row r="865" spans="4:8" ht="13.5" customHeight="1">
      <c r="D865" s="7"/>
      <c r="E865" s="7"/>
      <c r="F865" s="7"/>
      <c r="G865" s="7"/>
      <c r="H865" s="7"/>
    </row>
    <row r="866" spans="4:8" ht="13.5" customHeight="1">
      <c r="D866" s="7"/>
      <c r="E866" s="7"/>
      <c r="F866" s="7"/>
      <c r="G866" s="7"/>
      <c r="H866" s="7"/>
    </row>
    <row r="867" spans="4:8" ht="13.5" customHeight="1">
      <c r="D867" s="7"/>
      <c r="E867" s="7"/>
      <c r="F867" s="7"/>
      <c r="G867" s="7"/>
      <c r="H867" s="7"/>
    </row>
    <row r="868" spans="4:8" ht="13.5" customHeight="1">
      <c r="D868" s="7"/>
      <c r="E868" s="7"/>
      <c r="F868" s="7"/>
      <c r="G868" s="7"/>
      <c r="H868" s="7"/>
    </row>
    <row r="869" spans="4:8" ht="13.5" customHeight="1">
      <c r="D869" s="7"/>
      <c r="E869" s="7"/>
      <c r="F869" s="7"/>
      <c r="G869" s="7"/>
      <c r="H869" s="7"/>
    </row>
    <row r="870" spans="4:8" ht="13.5" customHeight="1">
      <c r="D870" s="7"/>
      <c r="E870" s="7"/>
      <c r="F870" s="7"/>
      <c r="G870" s="7"/>
      <c r="H870" s="7"/>
    </row>
    <row r="871" spans="4:8" ht="13.5" customHeight="1">
      <c r="D871" s="7"/>
      <c r="E871" s="7"/>
      <c r="F871" s="7"/>
      <c r="G871" s="7"/>
      <c r="H871" s="7"/>
    </row>
    <row r="872" spans="4:8" ht="13.5" customHeight="1">
      <c r="D872" s="7"/>
      <c r="E872" s="7"/>
      <c r="F872" s="7"/>
      <c r="G872" s="7"/>
      <c r="H872" s="7"/>
    </row>
    <row r="873" spans="4:8" ht="13.5" customHeight="1">
      <c r="D873" s="7"/>
      <c r="E873" s="7"/>
      <c r="F873" s="7"/>
      <c r="G873" s="7"/>
      <c r="H873" s="7"/>
    </row>
    <row r="874" spans="4:8" ht="13.5" customHeight="1">
      <c r="D874" s="7"/>
      <c r="E874" s="7"/>
      <c r="F874" s="7"/>
      <c r="G874" s="7"/>
      <c r="H874" s="7"/>
    </row>
    <row r="875" spans="4:8" ht="13.5" customHeight="1">
      <c r="D875" s="7"/>
      <c r="E875" s="7"/>
      <c r="F875" s="7"/>
      <c r="G875" s="7"/>
      <c r="H875" s="7"/>
    </row>
    <row r="876" spans="4:8" ht="13.5" customHeight="1">
      <c r="D876" s="7"/>
      <c r="E876" s="7"/>
      <c r="F876" s="7"/>
      <c r="G876" s="7"/>
      <c r="H876" s="7"/>
    </row>
    <row r="877" spans="4:8" ht="13.5" customHeight="1">
      <c r="D877" s="7"/>
      <c r="E877" s="7"/>
      <c r="F877" s="7"/>
      <c r="G877" s="7"/>
      <c r="H877" s="7"/>
    </row>
    <row r="878" spans="4:8" ht="13.5" customHeight="1">
      <c r="D878" s="7"/>
      <c r="E878" s="7"/>
      <c r="F878" s="7"/>
      <c r="G878" s="7"/>
      <c r="H878" s="7"/>
    </row>
    <row r="879" spans="4:8" ht="13.5" customHeight="1">
      <c r="D879" s="7"/>
      <c r="E879" s="7"/>
      <c r="F879" s="7"/>
      <c r="G879" s="7"/>
      <c r="H879" s="7"/>
    </row>
    <row r="880" spans="4:8" ht="13.5" customHeight="1">
      <c r="D880" s="7"/>
      <c r="E880" s="7"/>
      <c r="F880" s="7"/>
      <c r="G880" s="7"/>
      <c r="H880" s="7"/>
    </row>
    <row r="881" spans="4:8" ht="13.5" customHeight="1">
      <c r="D881" s="7"/>
      <c r="E881" s="7"/>
      <c r="F881" s="7"/>
      <c r="G881" s="7"/>
      <c r="H881" s="7"/>
    </row>
    <row r="882" spans="4:8" ht="13.5" customHeight="1">
      <c r="D882" s="7"/>
      <c r="E882" s="7"/>
      <c r="F882" s="7"/>
      <c r="G882" s="7"/>
      <c r="H882" s="7"/>
    </row>
    <row r="883" spans="4:8" ht="13.5" customHeight="1">
      <c r="D883" s="7"/>
      <c r="E883" s="7"/>
      <c r="F883" s="7"/>
      <c r="G883" s="7"/>
      <c r="H883" s="7"/>
    </row>
    <row r="884" spans="4:8" ht="13.5" customHeight="1">
      <c r="D884" s="7"/>
      <c r="E884" s="7"/>
      <c r="F884" s="7"/>
      <c r="G884" s="7"/>
      <c r="H884" s="7"/>
    </row>
    <row r="885" spans="4:8" ht="13.5" customHeight="1">
      <c r="D885" s="7"/>
      <c r="E885" s="7"/>
      <c r="F885" s="7"/>
      <c r="G885" s="7"/>
      <c r="H885" s="7"/>
    </row>
    <row r="886" spans="4:8" ht="13.5" customHeight="1">
      <c r="D886" s="7"/>
      <c r="E886" s="7"/>
      <c r="F886" s="7"/>
      <c r="G886" s="7"/>
      <c r="H886" s="7"/>
    </row>
    <row r="887" spans="4:8" ht="13.5" customHeight="1">
      <c r="D887" s="7"/>
      <c r="E887" s="7"/>
      <c r="F887" s="7"/>
      <c r="G887" s="7"/>
      <c r="H887" s="7"/>
    </row>
    <row r="888" spans="4:8" ht="13.5" customHeight="1">
      <c r="D888" s="7"/>
      <c r="E888" s="7"/>
      <c r="F888" s="7"/>
      <c r="G888" s="7"/>
      <c r="H888" s="7"/>
    </row>
    <row r="889" spans="4:8" ht="13.5" customHeight="1">
      <c r="D889" s="7"/>
      <c r="E889" s="7"/>
      <c r="F889" s="7"/>
      <c r="G889" s="7"/>
      <c r="H889" s="7"/>
    </row>
    <row r="890" spans="4:8" ht="13.5" customHeight="1">
      <c r="D890" s="7"/>
      <c r="E890" s="7"/>
      <c r="F890" s="7"/>
      <c r="G890" s="7"/>
      <c r="H890" s="7"/>
    </row>
    <row r="891" spans="4:8" ht="13.5" customHeight="1">
      <c r="D891" s="7"/>
      <c r="E891" s="7"/>
      <c r="F891" s="7"/>
      <c r="G891" s="7"/>
      <c r="H891" s="7"/>
    </row>
    <row r="892" spans="4:8" ht="13.5" customHeight="1">
      <c r="D892" s="7"/>
      <c r="E892" s="7"/>
      <c r="F892" s="7"/>
      <c r="G892" s="7"/>
      <c r="H892" s="7"/>
    </row>
    <row r="893" spans="4:8" ht="13.5" customHeight="1">
      <c r="D893" s="7"/>
      <c r="E893" s="7"/>
      <c r="F893" s="7"/>
      <c r="G893" s="7"/>
      <c r="H893" s="7"/>
    </row>
    <row r="894" spans="4:8" ht="13.5" customHeight="1">
      <c r="D894" s="7"/>
      <c r="E894" s="7"/>
      <c r="F894" s="7"/>
      <c r="G894" s="7"/>
      <c r="H894" s="7"/>
    </row>
    <row r="895" spans="4:8" ht="13.5" customHeight="1">
      <c r="D895" s="7"/>
      <c r="E895" s="7"/>
      <c r="F895" s="7"/>
      <c r="G895" s="7"/>
      <c r="H895" s="7"/>
    </row>
    <row r="896" spans="4:8" ht="13.5" customHeight="1">
      <c r="D896" s="7"/>
      <c r="E896" s="7"/>
      <c r="F896" s="7"/>
      <c r="G896" s="7"/>
      <c r="H896" s="7"/>
    </row>
    <row r="897" spans="4:8" ht="13.5" customHeight="1">
      <c r="D897" s="7"/>
      <c r="E897" s="7"/>
      <c r="F897" s="7"/>
      <c r="G897" s="7"/>
      <c r="H897" s="7"/>
    </row>
    <row r="898" spans="4:8" ht="13.5" customHeight="1">
      <c r="D898" s="7"/>
      <c r="E898" s="7"/>
      <c r="F898" s="7"/>
      <c r="G898" s="7"/>
      <c r="H898" s="7"/>
    </row>
    <row r="899" spans="4:8" ht="13.5" customHeight="1">
      <c r="D899" s="7"/>
      <c r="E899" s="7"/>
      <c r="F899" s="7"/>
      <c r="G899" s="7"/>
      <c r="H899" s="7"/>
    </row>
    <row r="900" spans="4:8" ht="13.5" customHeight="1">
      <c r="D900" s="7"/>
      <c r="E900" s="7"/>
      <c r="F900" s="7"/>
      <c r="G900" s="7"/>
      <c r="H900" s="7"/>
    </row>
    <row r="901" spans="4:8" ht="13.5" customHeight="1">
      <c r="D901" s="7"/>
      <c r="E901" s="7"/>
      <c r="F901" s="7"/>
      <c r="G901" s="7"/>
      <c r="H901" s="7"/>
    </row>
    <row r="902" spans="4:8" ht="13.5" customHeight="1">
      <c r="D902" s="7"/>
      <c r="E902" s="7"/>
      <c r="F902" s="7"/>
      <c r="G902" s="7"/>
      <c r="H902" s="7"/>
    </row>
    <row r="903" spans="4:8" ht="13.5" customHeight="1">
      <c r="D903" s="7"/>
      <c r="E903" s="7"/>
      <c r="F903" s="7"/>
      <c r="G903" s="7"/>
      <c r="H903" s="7"/>
    </row>
    <row r="904" spans="4:8" ht="13.5" customHeight="1">
      <c r="D904" s="7"/>
      <c r="E904" s="7"/>
      <c r="F904" s="7"/>
      <c r="G904" s="7"/>
      <c r="H904" s="7"/>
    </row>
    <row r="905" spans="4:8" ht="13.5" customHeight="1">
      <c r="D905" s="7"/>
      <c r="E905" s="7"/>
      <c r="F905" s="7"/>
      <c r="G905" s="7"/>
      <c r="H905" s="7"/>
    </row>
    <row r="906" spans="4:8" ht="13.5" customHeight="1">
      <c r="D906" s="7"/>
      <c r="E906" s="7"/>
      <c r="F906" s="7"/>
      <c r="G906" s="7"/>
      <c r="H906" s="7"/>
    </row>
    <row r="907" spans="4:8" ht="13.5" customHeight="1">
      <c r="D907" s="7"/>
      <c r="E907" s="7"/>
      <c r="F907" s="7"/>
      <c r="G907" s="7"/>
      <c r="H907" s="7"/>
    </row>
    <row r="908" spans="4:8" ht="13.5" customHeight="1">
      <c r="D908" s="7"/>
      <c r="E908" s="7"/>
      <c r="F908" s="7"/>
      <c r="G908" s="7"/>
      <c r="H908" s="7"/>
    </row>
    <row r="909" spans="4:8" ht="13.5" customHeight="1">
      <c r="D909" s="7"/>
      <c r="E909" s="7"/>
      <c r="F909" s="7"/>
      <c r="G909" s="7"/>
      <c r="H909" s="7"/>
    </row>
    <row r="910" spans="4:8" ht="13.5" customHeight="1">
      <c r="D910" s="7"/>
      <c r="E910" s="7"/>
      <c r="F910" s="7"/>
      <c r="G910" s="7"/>
      <c r="H910" s="7"/>
    </row>
    <row r="911" spans="4:8" ht="13.5" customHeight="1">
      <c r="D911" s="7"/>
      <c r="E911" s="7"/>
      <c r="F911" s="7"/>
      <c r="G911" s="7"/>
      <c r="H911" s="7"/>
    </row>
    <row r="912" spans="4:8" ht="13.5" customHeight="1">
      <c r="D912" s="7"/>
      <c r="E912" s="7"/>
      <c r="F912" s="7"/>
      <c r="G912" s="7"/>
      <c r="H912" s="7"/>
    </row>
    <row r="913" spans="4:8" ht="13.5" customHeight="1">
      <c r="D913" s="7"/>
      <c r="E913" s="7"/>
      <c r="F913" s="7"/>
      <c r="G913" s="7"/>
      <c r="H913" s="7"/>
    </row>
    <row r="914" spans="4:8" ht="13.5" customHeight="1">
      <c r="D914" s="7"/>
      <c r="E914" s="7"/>
      <c r="F914" s="7"/>
      <c r="G914" s="7"/>
      <c r="H914" s="7"/>
    </row>
    <row r="915" spans="4:8" ht="13.5" customHeight="1">
      <c r="D915" s="7"/>
      <c r="E915" s="7"/>
      <c r="F915" s="7"/>
      <c r="G915" s="7"/>
      <c r="H915" s="7"/>
    </row>
    <row r="916" spans="4:8" ht="13.5" customHeight="1">
      <c r="D916" s="7"/>
      <c r="E916" s="7"/>
      <c r="F916" s="7"/>
      <c r="G916" s="7"/>
      <c r="H916" s="7"/>
    </row>
    <row r="917" spans="4:8" ht="13.5" customHeight="1">
      <c r="D917" s="7"/>
      <c r="E917" s="7"/>
      <c r="F917" s="7"/>
      <c r="G917" s="7"/>
      <c r="H917" s="7"/>
    </row>
    <row r="918" spans="4:8" ht="13.5" customHeight="1">
      <c r="D918" s="7"/>
      <c r="E918" s="7"/>
      <c r="F918" s="7"/>
      <c r="G918" s="7"/>
      <c r="H918" s="7"/>
    </row>
    <row r="919" spans="4:8" ht="13.5" customHeight="1">
      <c r="D919" s="7"/>
      <c r="E919" s="7"/>
      <c r="F919" s="7"/>
      <c r="G919" s="7"/>
      <c r="H919" s="7"/>
    </row>
    <row r="920" spans="4:8" ht="13.5" customHeight="1">
      <c r="D920" s="7"/>
      <c r="E920" s="7"/>
      <c r="F920" s="7"/>
      <c r="G920" s="7"/>
      <c r="H920" s="7"/>
    </row>
    <row r="921" spans="4:8" ht="13.5" customHeight="1">
      <c r="D921" s="7"/>
      <c r="E921" s="7"/>
      <c r="F921" s="7"/>
      <c r="G921" s="7"/>
      <c r="H921" s="7"/>
    </row>
    <row r="922" spans="4:8" ht="13.5" customHeight="1">
      <c r="D922" s="7"/>
      <c r="E922" s="7"/>
      <c r="F922" s="7"/>
      <c r="G922" s="7"/>
      <c r="H922" s="7"/>
    </row>
    <row r="923" spans="4:8" ht="13.5" customHeight="1">
      <c r="D923" s="7"/>
      <c r="E923" s="7"/>
      <c r="F923" s="7"/>
      <c r="G923" s="7"/>
      <c r="H923" s="7"/>
    </row>
    <row r="924" spans="4:8" ht="13.5" customHeight="1">
      <c r="D924" s="7"/>
      <c r="E924" s="7"/>
      <c r="F924" s="7"/>
      <c r="G924" s="7"/>
      <c r="H924" s="7"/>
    </row>
    <row r="925" spans="4:8" ht="13.5" customHeight="1">
      <c r="D925" s="7"/>
      <c r="E925" s="7"/>
      <c r="F925" s="7"/>
      <c r="G925" s="7"/>
      <c r="H925" s="7"/>
    </row>
    <row r="926" spans="4:8" ht="13.5" customHeight="1">
      <c r="D926" s="7"/>
      <c r="E926" s="7"/>
      <c r="F926" s="7"/>
      <c r="G926" s="7"/>
      <c r="H926" s="7"/>
    </row>
    <row r="927" spans="4:8" ht="13.5" customHeight="1">
      <c r="D927" s="7"/>
      <c r="E927" s="7"/>
      <c r="F927" s="7"/>
      <c r="G927" s="7"/>
      <c r="H927" s="7"/>
    </row>
    <row r="928" spans="4:8" ht="13.5" customHeight="1">
      <c r="D928" s="7"/>
      <c r="E928" s="7"/>
      <c r="F928" s="7"/>
      <c r="G928" s="7"/>
      <c r="H928" s="7"/>
    </row>
    <row r="929" spans="4:8" ht="13.5" customHeight="1">
      <c r="D929" s="7"/>
      <c r="E929" s="7"/>
      <c r="F929" s="7"/>
      <c r="G929" s="7"/>
      <c r="H929" s="7"/>
    </row>
    <row r="930" spans="4:8" ht="13.5" customHeight="1">
      <c r="D930" s="7"/>
      <c r="E930" s="7"/>
      <c r="F930" s="7"/>
      <c r="G930" s="7"/>
      <c r="H930" s="7"/>
    </row>
    <row r="931" spans="4:8" ht="13.5" customHeight="1">
      <c r="D931" s="7"/>
      <c r="E931" s="7"/>
      <c r="F931" s="7"/>
      <c r="G931" s="7"/>
      <c r="H931" s="7"/>
    </row>
    <row r="932" spans="4:8" ht="13.5" customHeight="1">
      <c r="D932" s="7"/>
      <c r="E932" s="7"/>
      <c r="F932" s="7"/>
      <c r="G932" s="7"/>
      <c r="H932" s="7"/>
    </row>
    <row r="933" spans="4:8" ht="13.5" customHeight="1">
      <c r="D933" s="7"/>
      <c r="E933" s="7"/>
      <c r="F933" s="7"/>
      <c r="G933" s="7"/>
      <c r="H933" s="7"/>
    </row>
    <row r="934" spans="4:8" ht="13.5" customHeight="1">
      <c r="D934" s="7"/>
      <c r="E934" s="7"/>
      <c r="F934" s="7"/>
      <c r="G934" s="7"/>
      <c r="H934" s="7"/>
    </row>
    <row r="935" spans="4:8" ht="13.5" customHeight="1">
      <c r="D935" s="7"/>
      <c r="E935" s="7"/>
      <c r="F935" s="7"/>
      <c r="G935" s="7"/>
      <c r="H935" s="7"/>
    </row>
    <row r="936" spans="4:8" ht="13.5" customHeight="1">
      <c r="D936" s="7"/>
      <c r="E936" s="7"/>
      <c r="F936" s="7"/>
      <c r="G936" s="7"/>
      <c r="H936" s="7"/>
    </row>
    <row r="937" spans="4:8" ht="13.5" customHeight="1">
      <c r="D937" s="7"/>
      <c r="E937" s="7"/>
      <c r="F937" s="7"/>
      <c r="G937" s="7"/>
      <c r="H937" s="7"/>
    </row>
    <row r="938" spans="4:8" ht="13.5" customHeight="1">
      <c r="D938" s="7"/>
      <c r="E938" s="7"/>
      <c r="F938" s="7"/>
      <c r="G938" s="7"/>
      <c r="H938" s="7"/>
    </row>
    <row r="939" spans="4:8" ht="13.5" customHeight="1">
      <c r="D939" s="7"/>
      <c r="E939" s="7"/>
      <c r="F939" s="7"/>
      <c r="G939" s="7"/>
      <c r="H939" s="7"/>
    </row>
    <row r="940" spans="4:8" ht="13.5" customHeight="1">
      <c r="D940" s="7"/>
      <c r="E940" s="7"/>
      <c r="F940" s="7"/>
      <c r="G940" s="7"/>
      <c r="H940" s="7"/>
    </row>
    <row r="941" spans="4:8" ht="13.5" customHeight="1">
      <c r="D941" s="7"/>
      <c r="E941" s="7"/>
      <c r="F941" s="7"/>
      <c r="G941" s="7"/>
      <c r="H941" s="7"/>
    </row>
    <row r="942" spans="4:8" ht="13.5" customHeight="1">
      <c r="D942" s="7"/>
      <c r="E942" s="7"/>
      <c r="F942" s="7"/>
      <c r="G942" s="7"/>
      <c r="H942" s="7"/>
    </row>
    <row r="943" spans="4:8" ht="13.5" customHeight="1">
      <c r="D943" s="7"/>
      <c r="E943" s="7"/>
      <c r="F943" s="7"/>
      <c r="G943" s="7"/>
      <c r="H943" s="7"/>
    </row>
    <row r="944" spans="4:8" ht="13.5" customHeight="1">
      <c r="D944" s="7"/>
      <c r="E944" s="7"/>
      <c r="F944" s="7"/>
      <c r="G944" s="7"/>
      <c r="H944" s="7"/>
    </row>
    <row r="945" spans="4:8" ht="13.5" customHeight="1">
      <c r="D945" s="7"/>
      <c r="E945" s="7"/>
      <c r="F945" s="7"/>
      <c r="G945" s="7"/>
      <c r="H945" s="7"/>
    </row>
    <row r="946" spans="4:8" ht="13.5" customHeight="1">
      <c r="D946" s="7"/>
      <c r="E946" s="7"/>
      <c r="F946" s="7"/>
      <c r="G946" s="7"/>
      <c r="H946" s="7"/>
    </row>
    <row r="947" spans="4:8" ht="13.5" customHeight="1">
      <c r="D947" s="7"/>
      <c r="E947" s="7"/>
      <c r="F947" s="7"/>
      <c r="G947" s="7"/>
      <c r="H947" s="7"/>
    </row>
    <row r="948" spans="4:8" ht="13.5" customHeight="1">
      <c r="D948" s="7"/>
      <c r="E948" s="7"/>
      <c r="F948" s="7"/>
      <c r="G948" s="7"/>
      <c r="H948" s="7"/>
    </row>
    <row r="949" spans="4:8" ht="13.5" customHeight="1">
      <c r="D949" s="7"/>
      <c r="E949" s="7"/>
      <c r="F949" s="7"/>
      <c r="G949" s="7"/>
      <c r="H949" s="7"/>
    </row>
    <row r="950" spans="4:8" ht="13.5" customHeight="1">
      <c r="D950" s="7"/>
      <c r="E950" s="7"/>
      <c r="F950" s="7"/>
      <c r="G950" s="7"/>
      <c r="H950" s="7"/>
    </row>
    <row r="951" spans="4:8" ht="13.5" customHeight="1">
      <c r="D951" s="7"/>
      <c r="E951" s="7"/>
      <c r="F951" s="7"/>
      <c r="G951" s="7"/>
      <c r="H951" s="7"/>
    </row>
    <row r="952" spans="4:8" ht="13.5" customHeight="1">
      <c r="D952" s="7"/>
      <c r="E952" s="7"/>
      <c r="F952" s="7"/>
      <c r="G952" s="7"/>
      <c r="H952" s="7"/>
    </row>
    <row r="953" spans="4:8" ht="13.5" customHeight="1">
      <c r="D953" s="7"/>
      <c r="E953" s="7"/>
      <c r="F953" s="7"/>
      <c r="G953" s="7"/>
      <c r="H953" s="7"/>
    </row>
    <row r="954" spans="4:8" ht="13.5" customHeight="1">
      <c r="D954" s="7"/>
      <c r="E954" s="7"/>
      <c r="F954" s="7"/>
      <c r="G954" s="7"/>
      <c r="H954" s="7"/>
    </row>
    <row r="955" spans="4:8" ht="13.5" customHeight="1">
      <c r="D955" s="7"/>
      <c r="E955" s="7"/>
      <c r="F955" s="7"/>
      <c r="G955" s="7"/>
      <c r="H955" s="7"/>
    </row>
    <row r="956" spans="4:8" ht="13.5" customHeight="1">
      <c r="D956" s="7"/>
      <c r="E956" s="7"/>
      <c r="F956" s="7"/>
      <c r="G956" s="7"/>
      <c r="H956" s="7"/>
    </row>
    <row r="957" spans="4:8" ht="13.5" customHeight="1">
      <c r="D957" s="7"/>
      <c r="E957" s="7"/>
      <c r="F957" s="7"/>
      <c r="G957" s="7"/>
      <c r="H957" s="7"/>
    </row>
    <row r="958" spans="4:8" ht="13.5" customHeight="1">
      <c r="D958" s="7"/>
      <c r="E958" s="7"/>
      <c r="F958" s="7"/>
      <c r="G958" s="7"/>
      <c r="H958" s="7"/>
    </row>
    <row r="959" spans="4:8" ht="13.5" customHeight="1">
      <c r="D959" s="7"/>
      <c r="E959" s="7"/>
      <c r="F959" s="7"/>
      <c r="G959" s="7"/>
      <c r="H959" s="7"/>
    </row>
    <row r="960" spans="4:8" ht="13.5" customHeight="1">
      <c r="D960" s="7"/>
      <c r="E960" s="7"/>
      <c r="F960" s="7"/>
      <c r="G960" s="7"/>
      <c r="H960" s="7"/>
    </row>
    <row r="961" spans="4:8" ht="13.5" customHeight="1">
      <c r="D961" s="7"/>
      <c r="E961" s="7"/>
      <c r="F961" s="7"/>
      <c r="G961" s="7"/>
      <c r="H961" s="7"/>
    </row>
    <row r="962" spans="4:8" ht="13.5" customHeight="1">
      <c r="D962" s="7"/>
      <c r="E962" s="7"/>
      <c r="F962" s="7"/>
      <c r="G962" s="7"/>
      <c r="H962" s="7"/>
    </row>
    <row r="963" spans="4:8" ht="13.5" customHeight="1">
      <c r="D963" s="7"/>
      <c r="E963" s="7"/>
      <c r="F963" s="7"/>
      <c r="G963" s="7"/>
      <c r="H963" s="7"/>
    </row>
    <row r="964" spans="4:8" ht="13.5" customHeight="1">
      <c r="D964" s="7"/>
      <c r="E964" s="7"/>
      <c r="F964" s="7"/>
      <c r="G964" s="7"/>
      <c r="H964" s="7"/>
    </row>
    <row r="965" spans="4:8" ht="13.5" customHeight="1">
      <c r="D965" s="7"/>
      <c r="E965" s="7"/>
      <c r="F965" s="7"/>
      <c r="G965" s="7"/>
      <c r="H965" s="7"/>
    </row>
    <row r="966" spans="4:8" ht="13.5" customHeight="1">
      <c r="D966" s="7"/>
      <c r="E966" s="7"/>
      <c r="F966" s="7"/>
      <c r="G966" s="7"/>
      <c r="H966" s="7"/>
    </row>
    <row r="967" spans="4:8" ht="13.5" customHeight="1">
      <c r="D967" s="7"/>
      <c r="E967" s="7"/>
      <c r="F967" s="7"/>
      <c r="G967" s="7"/>
      <c r="H967" s="7"/>
    </row>
    <row r="968" spans="4:8" ht="13.5" customHeight="1">
      <c r="D968" s="7"/>
      <c r="E968" s="7"/>
      <c r="F968" s="7"/>
      <c r="G968" s="7"/>
      <c r="H968" s="7"/>
    </row>
    <row r="969" spans="4:8" ht="13.5" customHeight="1">
      <c r="D969" s="7"/>
      <c r="E969" s="7"/>
      <c r="F969" s="7"/>
      <c r="G969" s="7"/>
      <c r="H969" s="7"/>
    </row>
    <row r="970" spans="4:8" ht="13.5" customHeight="1">
      <c r="D970" s="7"/>
      <c r="E970" s="7"/>
      <c r="F970" s="7"/>
      <c r="G970" s="7"/>
      <c r="H970" s="7"/>
    </row>
    <row r="971" spans="4:8" ht="13.5" customHeight="1">
      <c r="D971" s="7"/>
      <c r="E971" s="7"/>
      <c r="F971" s="7"/>
      <c r="G971" s="7"/>
      <c r="H971" s="7"/>
    </row>
    <row r="972" spans="4:8" ht="13.5" customHeight="1">
      <c r="D972" s="7"/>
      <c r="E972" s="7"/>
      <c r="F972" s="7"/>
      <c r="G972" s="7"/>
      <c r="H972" s="7"/>
    </row>
    <row r="973" spans="4:8" ht="13.5" customHeight="1">
      <c r="D973" s="7"/>
      <c r="E973" s="7"/>
      <c r="F973" s="7"/>
      <c r="G973" s="7"/>
      <c r="H973" s="7"/>
    </row>
    <row r="974" spans="4:8" ht="13.5" customHeight="1">
      <c r="D974" s="7"/>
      <c r="E974" s="7"/>
      <c r="F974" s="7"/>
      <c r="G974" s="7"/>
      <c r="H974" s="7"/>
    </row>
    <row r="975" spans="4:8" ht="13.5" customHeight="1">
      <c r="D975" s="7"/>
      <c r="E975" s="7"/>
      <c r="F975" s="7"/>
      <c r="G975" s="7"/>
      <c r="H975" s="7"/>
    </row>
    <row r="976" spans="4:8" ht="13.5" customHeight="1">
      <c r="D976" s="7"/>
      <c r="E976" s="7"/>
      <c r="F976" s="7"/>
      <c r="G976" s="7"/>
      <c r="H976" s="7"/>
    </row>
    <row r="977" spans="4:8" ht="13.5" customHeight="1">
      <c r="D977" s="7"/>
      <c r="E977" s="7"/>
      <c r="F977" s="7"/>
      <c r="G977" s="7"/>
      <c r="H977" s="7"/>
    </row>
    <row r="978" spans="4:8" ht="13.5" customHeight="1">
      <c r="D978" s="7"/>
      <c r="E978" s="7"/>
      <c r="F978" s="7"/>
      <c r="G978" s="7"/>
      <c r="H978" s="7"/>
    </row>
    <row r="979" spans="4:8" ht="13.5" customHeight="1">
      <c r="D979" s="7"/>
      <c r="E979" s="7"/>
      <c r="F979" s="7"/>
      <c r="G979" s="7"/>
      <c r="H979" s="7"/>
    </row>
    <row r="980" spans="4:8" ht="13.5" customHeight="1">
      <c r="D980" s="7"/>
      <c r="E980" s="7"/>
      <c r="F980" s="7"/>
      <c r="G980" s="7"/>
      <c r="H980" s="7"/>
    </row>
    <row r="981" spans="4:8" ht="13.5" customHeight="1">
      <c r="D981" s="7"/>
      <c r="E981" s="7"/>
      <c r="F981" s="7"/>
      <c r="G981" s="7"/>
      <c r="H981" s="7"/>
    </row>
    <row r="982" spans="4:8" ht="13.5" customHeight="1">
      <c r="D982" s="7"/>
      <c r="E982" s="7"/>
      <c r="F982" s="7"/>
      <c r="G982" s="7"/>
      <c r="H982" s="7"/>
    </row>
    <row r="983" spans="4:8" ht="13.5" customHeight="1">
      <c r="D983" s="7"/>
      <c r="E983" s="7"/>
      <c r="F983" s="7"/>
      <c r="G983" s="7"/>
      <c r="H983" s="7"/>
    </row>
    <row r="984" spans="4:8" ht="13.5" customHeight="1">
      <c r="D984" s="7"/>
      <c r="E984" s="7"/>
      <c r="F984" s="7"/>
      <c r="G984" s="7"/>
      <c r="H984" s="7"/>
    </row>
    <row r="985" spans="4:8" ht="13.5" customHeight="1">
      <c r="D985" s="7"/>
      <c r="E985" s="7"/>
      <c r="F985" s="7"/>
      <c r="G985" s="7"/>
      <c r="H985" s="7"/>
    </row>
    <row r="986" spans="4:8" ht="13.5" customHeight="1">
      <c r="D986" s="7"/>
      <c r="E986" s="7"/>
      <c r="F986" s="7"/>
      <c r="G986" s="7"/>
      <c r="H986" s="7"/>
    </row>
    <row r="987" spans="4:8" ht="13.5" customHeight="1">
      <c r="D987" s="7"/>
      <c r="E987" s="7"/>
      <c r="F987" s="7"/>
      <c r="G987" s="7"/>
      <c r="H987" s="7"/>
    </row>
    <row r="988" spans="4:8" ht="13.5" customHeight="1">
      <c r="D988" s="7"/>
      <c r="E988" s="7"/>
      <c r="F988" s="7"/>
      <c r="G988" s="7"/>
      <c r="H988" s="7"/>
    </row>
    <row r="989" spans="4:8" ht="13.5" customHeight="1">
      <c r="D989" s="7"/>
      <c r="E989" s="7"/>
      <c r="F989" s="7"/>
      <c r="G989" s="7"/>
      <c r="H989" s="7"/>
    </row>
    <row r="990" spans="4:8" ht="13.5" customHeight="1">
      <c r="D990" s="7"/>
      <c r="E990" s="7"/>
      <c r="F990" s="7"/>
      <c r="G990" s="7"/>
      <c r="H990" s="7"/>
    </row>
    <row r="991" spans="4:8" ht="13.5" customHeight="1">
      <c r="D991" s="7"/>
      <c r="E991" s="7"/>
      <c r="F991" s="7"/>
      <c r="G991" s="7"/>
      <c r="H991" s="7"/>
    </row>
    <row r="992" spans="4:8" ht="13.5" customHeight="1">
      <c r="D992" s="7"/>
      <c r="E992" s="7"/>
      <c r="F992" s="7"/>
      <c r="G992" s="7"/>
      <c r="H992" s="7"/>
    </row>
    <row r="993" spans="4:8" ht="13.5" customHeight="1">
      <c r="D993" s="7"/>
      <c r="E993" s="7"/>
      <c r="F993" s="7"/>
      <c r="G993" s="7"/>
      <c r="H993" s="7"/>
    </row>
    <row r="994" spans="4:8" ht="13.5" customHeight="1">
      <c r="D994" s="7"/>
      <c r="E994" s="7"/>
      <c r="F994" s="7"/>
      <c r="G994" s="7"/>
      <c r="H994" s="7"/>
    </row>
    <row r="995" spans="4:8" ht="13.5" customHeight="1">
      <c r="D995" s="7"/>
      <c r="E995" s="7"/>
      <c r="F995" s="7"/>
      <c r="G995" s="7"/>
      <c r="H995" s="7"/>
    </row>
    <row r="996" spans="4:8" ht="13.5" customHeight="1">
      <c r="D996" s="7"/>
      <c r="E996" s="7"/>
      <c r="F996" s="7"/>
      <c r="G996" s="7"/>
      <c r="H996" s="7"/>
    </row>
    <row r="997" spans="4:8" ht="13.5" customHeight="1">
      <c r="D997" s="7"/>
      <c r="E997" s="7"/>
      <c r="F997" s="7"/>
      <c r="G997" s="7"/>
      <c r="H997" s="7"/>
    </row>
    <row r="998" spans="4:8" ht="13.5" customHeight="1">
      <c r="D998" s="7"/>
      <c r="E998" s="7"/>
      <c r="F998" s="7"/>
      <c r="G998" s="7"/>
      <c r="H998" s="7"/>
    </row>
    <row r="999" spans="4:8" ht="13.5" customHeight="1">
      <c r="D999" s="7"/>
      <c r="E999" s="7"/>
      <c r="F999" s="7"/>
      <c r="G999" s="7"/>
      <c r="H999" s="7"/>
    </row>
    <row r="1000" spans="4:8" ht="13.5" customHeight="1">
      <c r="D1000" s="7"/>
      <c r="E1000" s="7"/>
      <c r="F1000" s="7"/>
      <c r="G1000" s="7"/>
      <c r="H1000" s="7"/>
    </row>
    <row r="1001" spans="4:8" ht="13.5" customHeight="1">
      <c r="D1001" s="7"/>
      <c r="E1001" s="7"/>
      <c r="F1001" s="7"/>
      <c r="G1001" s="7"/>
      <c r="H1001" s="7"/>
    </row>
  </sheetData>
  <mergeCells count="1">
    <mergeCell ref="D2:G2"/>
  </mergeCells>
  <pageMargins left="0.69930555555555596" right="0.69930555555555596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17365D"/>
  </sheetPr>
  <dimension ref="A1:AF1000"/>
  <sheetViews>
    <sheetView showGridLines="0" workbookViewId="0">
      <selection activeCell="A4" sqref="A4"/>
    </sheetView>
  </sheetViews>
  <sheetFormatPr defaultColWidth="12.59765625" defaultRowHeight="15" customHeight="1"/>
  <cols>
    <col min="1" max="1" width="8.69921875" customWidth="1"/>
    <col min="2" max="2" width="33.5" customWidth="1"/>
    <col min="3" max="3" width="22.69921875" customWidth="1"/>
    <col min="4" max="4" width="33.59765625" customWidth="1"/>
    <col min="5" max="5" width="10" customWidth="1"/>
    <col min="6" max="6" width="12.59765625" customWidth="1"/>
    <col min="7" max="7" width="10" customWidth="1"/>
    <col min="8" max="8" width="11.796875" bestFit="1" customWidth="1"/>
    <col min="9" max="10" width="10" customWidth="1"/>
    <col min="11" max="11" width="13.09765625" customWidth="1"/>
    <col min="12" max="12" width="13.59765625" customWidth="1"/>
    <col min="13" max="32" width="9.09765625" customWidth="1"/>
  </cols>
  <sheetData>
    <row r="1" spans="1:32" ht="13.5" customHeight="1">
      <c r="A1" s="2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70" customFormat="1" ht="21" customHeight="1">
      <c r="A3" s="68" t="s">
        <v>21</v>
      </c>
      <c r="B3" s="67" t="s">
        <v>22</v>
      </c>
      <c r="C3" s="67"/>
      <c r="D3" s="67" t="s">
        <v>23</v>
      </c>
      <c r="E3" s="67" t="s">
        <v>24</v>
      </c>
      <c r="F3" s="67" t="s">
        <v>404</v>
      </c>
      <c r="G3" s="67" t="s">
        <v>405</v>
      </c>
      <c r="H3" s="67" t="s">
        <v>401</v>
      </c>
      <c r="I3" s="67" t="s">
        <v>402</v>
      </c>
      <c r="J3" s="67" t="s">
        <v>403</v>
      </c>
      <c r="K3" s="67" t="s">
        <v>519</v>
      </c>
      <c r="L3" s="320" t="s">
        <v>25</v>
      </c>
      <c r="M3" s="67" t="s">
        <v>940</v>
      </c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</row>
    <row r="4" spans="1:32" s="136" customFormat="1" ht="32.1" customHeight="1">
      <c r="A4" s="132">
        <v>17</v>
      </c>
      <c r="B4" s="133"/>
      <c r="C4" s="137"/>
      <c r="D4" s="137"/>
      <c r="E4" s="132"/>
      <c r="F4" s="331"/>
      <c r="G4" s="134"/>
      <c r="H4" s="134"/>
      <c r="I4" s="134"/>
      <c r="J4" s="134"/>
      <c r="K4" s="132"/>
      <c r="L4" s="321"/>
      <c r="M4" s="322" t="s">
        <v>941</v>
      </c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</row>
    <row r="5" spans="1:32" s="70" customFormat="1" ht="18" customHeight="1">
      <c r="A5" s="71"/>
      <c r="B5" s="72"/>
      <c r="C5" s="138"/>
      <c r="D5" s="138"/>
      <c r="E5" s="73"/>
      <c r="F5" s="73"/>
      <c r="G5" s="73"/>
      <c r="H5" s="73"/>
      <c r="I5" s="73"/>
      <c r="J5" s="73"/>
      <c r="K5" s="72"/>
      <c r="L5" s="138"/>
      <c r="M5" s="72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</row>
    <row r="6" spans="1:32" ht="13.5" customHeight="1">
      <c r="A6" s="39"/>
      <c r="B6" s="4"/>
      <c r="C6" s="139"/>
      <c r="D6" s="139"/>
      <c r="E6" s="4"/>
      <c r="F6" s="4"/>
      <c r="G6" s="4"/>
      <c r="H6" s="4"/>
      <c r="I6" s="4"/>
      <c r="J6" s="4"/>
      <c r="K6" s="4"/>
      <c r="L6" s="139"/>
      <c r="M6" s="32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pageMargins left="0.69930555555555596" right="0.69930555555555596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15DD-EC2C-4BCC-85BA-E2D5C9065957}">
  <sheetPr codeName="Sheet3" filterMode="1"/>
  <dimension ref="A2:N773"/>
  <sheetViews>
    <sheetView workbookViewId="0">
      <selection activeCell="G485" sqref="G485"/>
    </sheetView>
  </sheetViews>
  <sheetFormatPr defaultColWidth="13.19921875" defaultRowHeight="13.8"/>
  <cols>
    <col min="1" max="1" width="8.69921875" style="76" customWidth="1"/>
    <col min="2" max="2" width="10.09765625" style="76" customWidth="1"/>
    <col min="3" max="5" width="6.5" style="76" customWidth="1"/>
    <col min="6" max="6" width="41.296875" style="76" customWidth="1"/>
    <col min="7" max="7" width="8.59765625" style="146" customWidth="1"/>
    <col min="8" max="8" width="8.5" style="194" customWidth="1"/>
    <col min="9" max="10" width="8.5" style="213" customWidth="1"/>
    <col min="11" max="11" width="10.09765625" style="76" customWidth="1"/>
    <col min="12" max="12" width="12.59765625" style="76" customWidth="1"/>
    <col min="13" max="13" width="10.09765625" style="76" customWidth="1"/>
    <col min="14" max="14" width="8" style="324" customWidth="1"/>
    <col min="15" max="19" width="8" style="76" customWidth="1"/>
    <col min="20" max="16384" width="13.19921875" style="76"/>
  </cols>
  <sheetData>
    <row r="2" spans="1:14">
      <c r="A2" s="151" t="s">
        <v>546</v>
      </c>
    </row>
    <row r="4" spans="1:14" ht="35.1" customHeight="1">
      <c r="A4" s="147"/>
      <c r="B4" s="163" t="s">
        <v>560</v>
      </c>
      <c r="C4" s="163"/>
      <c r="D4" s="163"/>
      <c r="E4" s="163"/>
      <c r="F4" s="163" t="s">
        <v>561</v>
      </c>
      <c r="G4" s="164" t="s">
        <v>265</v>
      </c>
      <c r="H4" s="164" t="s">
        <v>28</v>
      </c>
      <c r="I4" s="214" t="s">
        <v>562</v>
      </c>
      <c r="J4" s="214" t="s">
        <v>563</v>
      </c>
      <c r="K4" s="164" t="s">
        <v>524</v>
      </c>
      <c r="L4" s="164" t="s">
        <v>525</v>
      </c>
      <c r="M4" s="164" t="s">
        <v>526</v>
      </c>
      <c r="N4" s="163" t="s">
        <v>946</v>
      </c>
    </row>
    <row r="5" spans="1:14" s="227" customFormat="1" ht="14.25" hidden="1" customHeight="1">
      <c r="A5" s="223"/>
      <c r="B5" s="224" t="str">
        <f>C5&amp;D5&amp;E5</f>
        <v>0000000</v>
      </c>
      <c r="C5" s="225" t="s">
        <v>369</v>
      </c>
      <c r="D5" s="226" t="s">
        <v>370</v>
      </c>
      <c r="E5" s="226" t="s">
        <v>370</v>
      </c>
      <c r="F5" s="224" t="s">
        <v>665</v>
      </c>
      <c r="G5" s="195">
        <v>1</v>
      </c>
      <c r="H5" s="195"/>
      <c r="I5" s="195"/>
      <c r="J5" s="195"/>
      <c r="K5" s="195"/>
      <c r="L5" s="195"/>
      <c r="M5" s="195"/>
      <c r="N5" s="324"/>
    </row>
    <row r="6" spans="1:14" ht="14.25" hidden="1" customHeight="1">
      <c r="A6" s="168"/>
      <c r="B6" s="170" t="str">
        <f>C6&amp;D6&amp;E6</f>
        <v>1110000</v>
      </c>
      <c r="C6" s="171" t="s">
        <v>564</v>
      </c>
      <c r="D6" s="172" t="s">
        <v>370</v>
      </c>
      <c r="E6" s="172" t="s">
        <v>370</v>
      </c>
      <c r="F6" s="171" t="s">
        <v>29</v>
      </c>
      <c r="G6" s="173">
        <v>1</v>
      </c>
      <c r="H6" s="196" t="s">
        <v>30</v>
      </c>
      <c r="I6" s="200" t="s">
        <v>565</v>
      </c>
      <c r="J6" s="200"/>
      <c r="K6" s="175" t="s">
        <v>527</v>
      </c>
      <c r="L6" s="176"/>
      <c r="M6" s="162" t="s">
        <v>531</v>
      </c>
    </row>
    <row r="7" spans="1:14" ht="14.25" hidden="1" customHeight="1">
      <c r="A7" s="169"/>
      <c r="B7" s="202" t="str">
        <f>C7&amp;D7&amp;E7</f>
        <v>1111000</v>
      </c>
      <c r="C7" s="203" t="s">
        <v>564</v>
      </c>
      <c r="D7" s="204" t="s">
        <v>569</v>
      </c>
      <c r="E7" s="204" t="s">
        <v>370</v>
      </c>
      <c r="F7" s="205" t="s">
        <v>31</v>
      </c>
      <c r="G7" s="206">
        <v>2</v>
      </c>
      <c r="H7" s="174" t="s">
        <v>30</v>
      </c>
      <c r="I7" s="215"/>
      <c r="J7" s="215"/>
      <c r="K7" s="175" t="s">
        <v>527</v>
      </c>
      <c r="L7" s="176"/>
      <c r="M7" s="162" t="s">
        <v>531</v>
      </c>
    </row>
    <row r="8" spans="1:14" hidden="1">
      <c r="A8" s="157"/>
      <c r="B8" s="158" t="str">
        <f t="shared" ref="B8:B72" si="0">C8&amp;D8&amp;E8</f>
        <v>1111101</v>
      </c>
      <c r="C8" s="177" t="s">
        <v>564</v>
      </c>
      <c r="D8" s="177" t="s">
        <v>566</v>
      </c>
      <c r="E8" s="160" t="s">
        <v>655</v>
      </c>
      <c r="F8" s="159" t="s">
        <v>31</v>
      </c>
      <c r="G8" s="162">
        <v>3</v>
      </c>
      <c r="H8" s="162"/>
      <c r="I8" s="162"/>
      <c r="J8" s="162"/>
      <c r="K8" s="175" t="s">
        <v>527</v>
      </c>
      <c r="L8" s="176"/>
      <c r="M8" s="162" t="s">
        <v>531</v>
      </c>
    </row>
    <row r="9" spans="1:14" hidden="1">
      <c r="A9" s="157"/>
      <c r="B9" s="202" t="str">
        <f t="shared" si="0"/>
        <v>1112000</v>
      </c>
      <c r="C9" s="203" t="s">
        <v>564</v>
      </c>
      <c r="D9" s="204" t="s">
        <v>578</v>
      </c>
      <c r="E9" s="204" t="s">
        <v>370</v>
      </c>
      <c r="F9" s="205" t="s">
        <v>32</v>
      </c>
      <c r="G9" s="206">
        <v>2</v>
      </c>
      <c r="H9" s="174" t="s">
        <v>30</v>
      </c>
      <c r="I9" s="215"/>
      <c r="J9" s="215"/>
      <c r="K9" s="175" t="s">
        <v>527</v>
      </c>
      <c r="L9" s="176"/>
      <c r="M9" s="162" t="s">
        <v>531</v>
      </c>
    </row>
    <row r="10" spans="1:14" hidden="1">
      <c r="A10" s="157"/>
      <c r="B10" s="158" t="str">
        <f t="shared" si="0"/>
        <v>1112101</v>
      </c>
      <c r="C10" s="177" t="s">
        <v>564</v>
      </c>
      <c r="D10" s="177" t="s">
        <v>567</v>
      </c>
      <c r="E10" s="160" t="s">
        <v>655</v>
      </c>
      <c r="F10" s="159" t="s">
        <v>33</v>
      </c>
      <c r="G10" s="162">
        <v>3</v>
      </c>
      <c r="H10" s="162"/>
      <c r="I10" s="162"/>
      <c r="J10" s="162"/>
      <c r="K10" s="175" t="s">
        <v>527</v>
      </c>
      <c r="L10" s="176"/>
      <c r="M10" s="162" t="s">
        <v>531</v>
      </c>
    </row>
    <row r="11" spans="1:14" hidden="1">
      <c r="A11" s="157"/>
      <c r="B11" s="170" t="str">
        <f t="shared" si="0"/>
        <v>1120000</v>
      </c>
      <c r="C11" s="171" t="s">
        <v>568</v>
      </c>
      <c r="D11" s="172" t="s">
        <v>370</v>
      </c>
      <c r="E11" s="172" t="s">
        <v>370</v>
      </c>
      <c r="F11" s="171" t="s">
        <v>34</v>
      </c>
      <c r="G11" s="178">
        <v>1</v>
      </c>
      <c r="H11" s="197" t="s">
        <v>30</v>
      </c>
      <c r="I11" s="201" t="s">
        <v>565</v>
      </c>
      <c r="J11" s="201"/>
      <c r="K11" s="175" t="s">
        <v>527</v>
      </c>
      <c r="L11" s="176"/>
      <c r="M11" s="162" t="s">
        <v>531</v>
      </c>
    </row>
    <row r="12" spans="1:14" hidden="1">
      <c r="A12" s="157"/>
      <c r="B12" s="202" t="str">
        <f t="shared" si="0"/>
        <v>1121000</v>
      </c>
      <c r="C12" s="203" t="s">
        <v>568</v>
      </c>
      <c r="D12" s="204" t="s">
        <v>569</v>
      </c>
      <c r="E12" s="204" t="s">
        <v>370</v>
      </c>
      <c r="F12" s="205" t="s">
        <v>35</v>
      </c>
      <c r="G12" s="184">
        <v>2</v>
      </c>
      <c r="H12" s="162" t="s">
        <v>30</v>
      </c>
      <c r="I12" s="216"/>
      <c r="J12" s="216"/>
      <c r="K12" s="175" t="s">
        <v>527</v>
      </c>
      <c r="L12" s="176"/>
      <c r="M12" s="162" t="s">
        <v>531</v>
      </c>
    </row>
    <row r="13" spans="1:14" hidden="1">
      <c r="A13" s="157"/>
      <c r="B13" s="158" t="str">
        <f t="shared" si="0"/>
        <v>1121101</v>
      </c>
      <c r="C13" s="177" t="s">
        <v>568</v>
      </c>
      <c r="D13" s="177" t="s">
        <v>566</v>
      </c>
      <c r="E13" s="160" t="s">
        <v>655</v>
      </c>
      <c r="F13" s="159" t="s">
        <v>652</v>
      </c>
      <c r="G13" s="162">
        <v>3</v>
      </c>
      <c r="H13" s="162"/>
      <c r="I13" s="162"/>
      <c r="J13" s="162"/>
      <c r="K13" s="175" t="s">
        <v>527</v>
      </c>
      <c r="L13" s="176"/>
      <c r="M13" s="162" t="s">
        <v>531</v>
      </c>
    </row>
    <row r="14" spans="1:14" hidden="1">
      <c r="A14" s="157"/>
      <c r="B14" s="158" t="str">
        <f t="shared" si="0"/>
        <v>1121102</v>
      </c>
      <c r="C14" s="177" t="s">
        <v>568</v>
      </c>
      <c r="D14" s="177" t="s">
        <v>566</v>
      </c>
      <c r="E14" s="160" t="s">
        <v>657</v>
      </c>
      <c r="F14" s="159" t="s">
        <v>653</v>
      </c>
      <c r="G14" s="162">
        <v>3</v>
      </c>
      <c r="H14" s="162"/>
      <c r="I14" s="162"/>
      <c r="J14" s="162"/>
      <c r="K14" s="175" t="s">
        <v>527</v>
      </c>
      <c r="L14" s="176"/>
      <c r="M14" s="162" t="s">
        <v>531</v>
      </c>
    </row>
    <row r="15" spans="1:14" hidden="1">
      <c r="A15" s="157"/>
      <c r="B15" s="202" t="str">
        <f t="shared" si="0"/>
        <v>1122000</v>
      </c>
      <c r="C15" s="203" t="s">
        <v>568</v>
      </c>
      <c r="D15" s="204" t="s">
        <v>578</v>
      </c>
      <c r="E15" s="204" t="s">
        <v>370</v>
      </c>
      <c r="F15" s="205" t="s">
        <v>36</v>
      </c>
      <c r="G15" s="184">
        <v>2</v>
      </c>
      <c r="H15" s="162" t="s">
        <v>30</v>
      </c>
      <c r="I15" s="216"/>
      <c r="J15" s="216"/>
      <c r="K15" s="175" t="s">
        <v>527</v>
      </c>
      <c r="L15" s="176"/>
      <c r="M15" s="162" t="s">
        <v>531</v>
      </c>
    </row>
    <row r="16" spans="1:14" hidden="1">
      <c r="A16" s="157"/>
      <c r="B16" s="158" t="str">
        <f t="shared" si="0"/>
        <v>1122101</v>
      </c>
      <c r="C16" s="177" t="s">
        <v>568</v>
      </c>
      <c r="D16" s="160" t="s">
        <v>567</v>
      </c>
      <c r="E16" s="160" t="s">
        <v>655</v>
      </c>
      <c r="F16" s="159" t="s">
        <v>654</v>
      </c>
      <c r="G16" s="162">
        <v>3</v>
      </c>
      <c r="H16" s="162"/>
      <c r="I16" s="162"/>
      <c r="J16" s="162"/>
      <c r="K16" s="175" t="s">
        <v>527</v>
      </c>
      <c r="L16" s="176"/>
      <c r="M16" s="162" t="s">
        <v>531</v>
      </c>
    </row>
    <row r="17" spans="1:13" ht="15.75" hidden="1" customHeight="1">
      <c r="A17" s="157"/>
      <c r="B17" s="170" t="str">
        <f t="shared" si="0"/>
        <v>1130000</v>
      </c>
      <c r="C17" s="171" t="s">
        <v>572</v>
      </c>
      <c r="D17" s="172" t="s">
        <v>370</v>
      </c>
      <c r="E17" s="172" t="s">
        <v>370</v>
      </c>
      <c r="F17" s="171" t="s">
        <v>37</v>
      </c>
      <c r="G17" s="178">
        <v>1</v>
      </c>
      <c r="H17" s="197" t="s">
        <v>30</v>
      </c>
      <c r="I17" s="201" t="s">
        <v>565</v>
      </c>
      <c r="J17" s="201"/>
      <c r="K17" s="175" t="s">
        <v>527</v>
      </c>
      <c r="L17" s="176"/>
      <c r="M17" s="176"/>
    </row>
    <row r="18" spans="1:13" ht="15.75" customHeight="1">
      <c r="A18" s="157"/>
      <c r="B18" s="202" t="str">
        <f t="shared" si="0"/>
        <v>1131000</v>
      </c>
      <c r="C18" s="203" t="s">
        <v>572</v>
      </c>
      <c r="D18" s="204" t="s">
        <v>569</v>
      </c>
      <c r="E18" s="204" t="s">
        <v>370</v>
      </c>
      <c r="F18" s="205" t="s">
        <v>38</v>
      </c>
      <c r="G18" s="184">
        <v>2</v>
      </c>
      <c r="H18" s="162" t="s">
        <v>30</v>
      </c>
      <c r="I18" s="216"/>
      <c r="J18" s="216"/>
      <c r="K18" s="175" t="s">
        <v>527</v>
      </c>
      <c r="L18" s="176"/>
      <c r="M18" s="176"/>
    </row>
    <row r="19" spans="1:13" ht="15.75" customHeight="1">
      <c r="A19" s="157"/>
      <c r="B19" s="158" t="str">
        <f t="shared" si="0"/>
        <v>1131101</v>
      </c>
      <c r="C19" s="177" t="s">
        <v>572</v>
      </c>
      <c r="D19" s="177" t="s">
        <v>566</v>
      </c>
      <c r="E19" s="160" t="s">
        <v>655</v>
      </c>
      <c r="F19" s="159" t="s">
        <v>658</v>
      </c>
      <c r="G19" s="162">
        <v>3</v>
      </c>
      <c r="H19" s="162"/>
      <c r="I19" s="162"/>
      <c r="J19" s="162"/>
      <c r="K19" s="175" t="s">
        <v>527</v>
      </c>
      <c r="L19" s="176"/>
      <c r="M19" s="176"/>
    </row>
    <row r="20" spans="1:13" ht="15.75" customHeight="1">
      <c r="A20" s="157"/>
      <c r="B20" s="158" t="str">
        <f t="shared" si="0"/>
        <v>1131102</v>
      </c>
      <c r="C20" s="177" t="s">
        <v>572</v>
      </c>
      <c r="D20" s="177" t="s">
        <v>566</v>
      </c>
      <c r="E20" s="160" t="s">
        <v>657</v>
      </c>
      <c r="F20" s="159" t="s">
        <v>659</v>
      </c>
      <c r="G20" s="162">
        <v>3</v>
      </c>
      <c r="H20" s="162"/>
      <c r="I20" s="162"/>
      <c r="J20" s="162"/>
      <c r="K20" s="175" t="s">
        <v>527</v>
      </c>
      <c r="L20" s="176"/>
      <c r="M20" s="176"/>
    </row>
    <row r="21" spans="1:13" ht="15.75" hidden="1" customHeight="1">
      <c r="A21" s="157"/>
      <c r="B21" s="202" t="str">
        <f t="shared" si="0"/>
        <v>1132000</v>
      </c>
      <c r="C21" s="203" t="s">
        <v>572</v>
      </c>
      <c r="D21" s="204" t="s">
        <v>578</v>
      </c>
      <c r="E21" s="204" t="s">
        <v>370</v>
      </c>
      <c r="F21" s="205" t="s">
        <v>656</v>
      </c>
      <c r="G21" s="184">
        <v>2</v>
      </c>
      <c r="H21" s="162" t="s">
        <v>30</v>
      </c>
      <c r="I21" s="216"/>
      <c r="J21" s="216"/>
      <c r="K21" s="175" t="s">
        <v>527</v>
      </c>
      <c r="L21" s="176"/>
      <c r="M21" s="176"/>
    </row>
    <row r="22" spans="1:13" hidden="1">
      <c r="A22" s="157"/>
      <c r="B22" s="158" t="str">
        <f t="shared" si="0"/>
        <v>1132101</v>
      </c>
      <c r="C22" s="177" t="s">
        <v>572</v>
      </c>
      <c r="D22" s="177" t="s">
        <v>567</v>
      </c>
      <c r="E22" s="160" t="s">
        <v>655</v>
      </c>
      <c r="F22" s="159" t="s">
        <v>656</v>
      </c>
      <c r="G22" s="162">
        <v>3</v>
      </c>
      <c r="H22" s="162"/>
      <c r="I22" s="162"/>
      <c r="J22" s="162"/>
      <c r="K22" s="175" t="s">
        <v>527</v>
      </c>
      <c r="L22" s="176"/>
      <c r="M22" s="176"/>
    </row>
    <row r="23" spans="1:13" hidden="1">
      <c r="A23" s="157"/>
      <c r="B23" s="202" t="str">
        <f t="shared" si="0"/>
        <v>1139000</v>
      </c>
      <c r="C23" s="203" t="s">
        <v>572</v>
      </c>
      <c r="D23" s="204" t="s">
        <v>580</v>
      </c>
      <c r="E23" s="204" t="s">
        <v>370</v>
      </c>
      <c r="F23" s="221" t="s">
        <v>842</v>
      </c>
      <c r="G23" s="184">
        <v>2</v>
      </c>
      <c r="H23" s="162" t="s">
        <v>30</v>
      </c>
      <c r="I23" s="162"/>
      <c r="J23" s="162"/>
      <c r="K23" s="175" t="s">
        <v>527</v>
      </c>
      <c r="L23" s="176"/>
      <c r="M23" s="176"/>
    </row>
    <row r="24" spans="1:13" hidden="1">
      <c r="A24" s="157"/>
      <c r="B24" s="158" t="str">
        <f t="shared" si="0"/>
        <v>1139101</v>
      </c>
      <c r="C24" s="177" t="s">
        <v>572</v>
      </c>
      <c r="D24" s="160" t="s">
        <v>614</v>
      </c>
      <c r="E24" s="160" t="s">
        <v>655</v>
      </c>
      <c r="F24" s="159" t="s">
        <v>843</v>
      </c>
      <c r="G24" s="162">
        <v>3</v>
      </c>
      <c r="H24" s="162"/>
      <c r="I24" s="162"/>
      <c r="J24" s="162"/>
      <c r="K24" s="175" t="s">
        <v>527</v>
      </c>
      <c r="L24" s="176"/>
      <c r="M24" s="176"/>
    </row>
    <row r="25" spans="1:13" hidden="1">
      <c r="A25" s="157"/>
      <c r="B25" s="170" t="str">
        <f t="shared" si="0"/>
        <v>1210000</v>
      </c>
      <c r="C25" s="179">
        <v>121</v>
      </c>
      <c r="D25" s="172" t="s">
        <v>370</v>
      </c>
      <c r="E25" s="172" t="s">
        <v>370</v>
      </c>
      <c r="F25" s="171" t="s">
        <v>39</v>
      </c>
      <c r="G25" s="178">
        <v>1</v>
      </c>
      <c r="H25" s="197" t="s">
        <v>30</v>
      </c>
      <c r="I25" s="201" t="s">
        <v>816</v>
      </c>
      <c r="J25" s="201"/>
      <c r="K25" s="175" t="s">
        <v>527</v>
      </c>
      <c r="L25" s="176"/>
      <c r="M25" s="176"/>
    </row>
    <row r="26" spans="1:13" ht="15.75" hidden="1" customHeight="1">
      <c r="A26" s="157"/>
      <c r="B26" s="202" t="str">
        <f t="shared" si="0"/>
        <v>1211000</v>
      </c>
      <c r="C26" s="205">
        <v>121</v>
      </c>
      <c r="D26" s="204" t="s">
        <v>569</v>
      </c>
      <c r="E26" s="204" t="s">
        <v>370</v>
      </c>
      <c r="F26" s="205" t="s">
        <v>40</v>
      </c>
      <c r="G26" s="184">
        <v>2</v>
      </c>
      <c r="H26" s="162" t="s">
        <v>30</v>
      </c>
      <c r="I26" s="216"/>
      <c r="J26" s="216"/>
      <c r="K26" s="175" t="s">
        <v>527</v>
      </c>
      <c r="L26" s="176"/>
      <c r="M26" s="176"/>
    </row>
    <row r="27" spans="1:13" ht="15.75" hidden="1" customHeight="1">
      <c r="A27" s="157"/>
      <c r="B27" s="158" t="str">
        <f t="shared" si="0"/>
        <v>1211101</v>
      </c>
      <c r="C27" s="159">
        <v>121</v>
      </c>
      <c r="D27" s="160" t="s">
        <v>566</v>
      </c>
      <c r="E27" s="160" t="s">
        <v>655</v>
      </c>
      <c r="F27" s="161" t="s">
        <v>40</v>
      </c>
      <c r="G27" s="162">
        <v>3</v>
      </c>
      <c r="H27" s="162"/>
      <c r="I27" s="162"/>
      <c r="J27" s="162"/>
      <c r="K27" s="175" t="s">
        <v>527</v>
      </c>
      <c r="L27" s="176"/>
      <c r="M27" s="176"/>
    </row>
    <row r="28" spans="1:13" ht="15.75" hidden="1" customHeight="1">
      <c r="A28" s="157"/>
      <c r="B28" s="202" t="str">
        <f t="shared" si="0"/>
        <v>1212000</v>
      </c>
      <c r="C28" s="205">
        <v>121</v>
      </c>
      <c r="D28" s="204" t="s">
        <v>578</v>
      </c>
      <c r="E28" s="204" t="s">
        <v>370</v>
      </c>
      <c r="F28" s="205" t="s">
        <v>41</v>
      </c>
      <c r="G28" s="184">
        <v>2</v>
      </c>
      <c r="H28" s="162" t="s">
        <v>30</v>
      </c>
      <c r="I28" s="216"/>
      <c r="J28" s="216"/>
      <c r="K28" s="175" t="s">
        <v>527</v>
      </c>
      <c r="L28" s="176"/>
      <c r="M28" s="176"/>
    </row>
    <row r="29" spans="1:13" ht="15.75" hidden="1" customHeight="1">
      <c r="A29" s="157"/>
      <c r="B29" s="158" t="str">
        <f t="shared" si="0"/>
        <v>1212101</v>
      </c>
      <c r="C29" s="159">
        <v>121</v>
      </c>
      <c r="D29" s="160" t="s">
        <v>567</v>
      </c>
      <c r="E29" s="160" t="s">
        <v>655</v>
      </c>
      <c r="F29" s="161" t="s">
        <v>41</v>
      </c>
      <c r="G29" s="162">
        <v>3</v>
      </c>
      <c r="H29" s="162"/>
      <c r="I29" s="162"/>
      <c r="J29" s="162"/>
      <c r="K29" s="175" t="s">
        <v>527</v>
      </c>
      <c r="L29" s="176"/>
      <c r="M29" s="176"/>
    </row>
    <row r="30" spans="1:13" ht="15.75" hidden="1" customHeight="1">
      <c r="A30" s="157"/>
      <c r="B30" s="202" t="str">
        <f t="shared" si="0"/>
        <v>1218000</v>
      </c>
      <c r="C30" s="205">
        <v>121</v>
      </c>
      <c r="D30" s="204" t="s">
        <v>660</v>
      </c>
      <c r="E30" s="204" t="s">
        <v>370</v>
      </c>
      <c r="F30" s="205" t="s">
        <v>42</v>
      </c>
      <c r="G30" s="184">
        <v>2</v>
      </c>
      <c r="H30" s="162" t="s">
        <v>30</v>
      </c>
      <c r="I30" s="216"/>
      <c r="J30" s="216"/>
      <c r="K30" s="175" t="s">
        <v>527</v>
      </c>
      <c r="L30" s="176"/>
      <c r="M30" s="176"/>
    </row>
    <row r="31" spans="1:13" ht="15.75" hidden="1" customHeight="1">
      <c r="A31" s="157"/>
      <c r="B31" s="158" t="str">
        <f t="shared" si="0"/>
        <v>1218101</v>
      </c>
      <c r="C31" s="159">
        <v>121</v>
      </c>
      <c r="D31" s="160" t="s">
        <v>586</v>
      </c>
      <c r="E31" s="160" t="s">
        <v>655</v>
      </c>
      <c r="F31" s="161" t="s">
        <v>42</v>
      </c>
      <c r="G31" s="162">
        <v>3</v>
      </c>
      <c r="H31" s="162"/>
      <c r="I31" s="162"/>
      <c r="J31" s="162"/>
      <c r="K31" s="175" t="s">
        <v>527</v>
      </c>
      <c r="L31" s="176"/>
      <c r="M31" s="176"/>
    </row>
    <row r="32" spans="1:13" ht="15.75" hidden="1" customHeight="1">
      <c r="A32" s="157"/>
      <c r="B32" s="170" t="str">
        <f t="shared" si="0"/>
        <v>1280000</v>
      </c>
      <c r="C32" s="171" t="s">
        <v>573</v>
      </c>
      <c r="D32" s="172" t="s">
        <v>370</v>
      </c>
      <c r="E32" s="172" t="s">
        <v>370</v>
      </c>
      <c r="F32" s="171" t="s">
        <v>43</v>
      </c>
      <c r="G32" s="178">
        <v>1</v>
      </c>
      <c r="H32" s="197" t="s">
        <v>30</v>
      </c>
      <c r="I32" s="201"/>
      <c r="J32" s="201"/>
      <c r="K32" s="175" t="s">
        <v>527</v>
      </c>
      <c r="L32" s="176"/>
      <c r="M32" s="176"/>
    </row>
    <row r="33" spans="1:13" ht="15.75" hidden="1" customHeight="1">
      <c r="A33" s="157"/>
      <c r="B33" s="202" t="str">
        <f t="shared" si="0"/>
        <v>1281000</v>
      </c>
      <c r="C33" s="203" t="s">
        <v>573</v>
      </c>
      <c r="D33" s="204" t="s">
        <v>569</v>
      </c>
      <c r="E33" s="204" t="s">
        <v>370</v>
      </c>
      <c r="F33" s="205" t="s">
        <v>44</v>
      </c>
      <c r="G33" s="184">
        <v>2</v>
      </c>
      <c r="H33" s="162" t="s">
        <v>30</v>
      </c>
      <c r="I33" s="216"/>
      <c r="J33" s="216"/>
      <c r="K33" s="175" t="s">
        <v>527</v>
      </c>
      <c r="L33" s="176"/>
      <c r="M33" s="176"/>
    </row>
    <row r="34" spans="1:13" hidden="1">
      <c r="A34" s="157"/>
      <c r="B34" s="158" t="str">
        <f t="shared" si="0"/>
        <v>1281101</v>
      </c>
      <c r="C34" s="177" t="s">
        <v>573</v>
      </c>
      <c r="D34" s="177" t="s">
        <v>566</v>
      </c>
      <c r="E34" s="160" t="s">
        <v>655</v>
      </c>
      <c r="F34" s="161" t="s">
        <v>650</v>
      </c>
      <c r="G34" s="162">
        <v>3</v>
      </c>
      <c r="H34" s="180"/>
      <c r="I34" s="162" t="s">
        <v>840</v>
      </c>
      <c r="J34" s="180"/>
      <c r="K34" s="175" t="s">
        <v>527</v>
      </c>
      <c r="L34" s="175" t="s">
        <v>532</v>
      </c>
      <c r="M34" s="176"/>
    </row>
    <row r="35" spans="1:13" hidden="1">
      <c r="A35" s="157"/>
      <c r="B35" s="158" t="str">
        <f t="shared" si="0"/>
        <v>1281102</v>
      </c>
      <c r="C35" s="177" t="s">
        <v>573</v>
      </c>
      <c r="D35" s="177" t="s">
        <v>566</v>
      </c>
      <c r="E35" s="160" t="s">
        <v>657</v>
      </c>
      <c r="F35" s="161" t="s">
        <v>651</v>
      </c>
      <c r="G35" s="162">
        <v>3</v>
      </c>
      <c r="H35" s="162"/>
      <c r="I35" s="162" t="s">
        <v>574</v>
      </c>
      <c r="J35" s="162"/>
      <c r="K35" s="175" t="s">
        <v>527</v>
      </c>
      <c r="L35" s="175" t="s">
        <v>532</v>
      </c>
      <c r="M35" s="176"/>
    </row>
    <row r="36" spans="1:13" ht="15.75" hidden="1" customHeight="1">
      <c r="A36" s="157"/>
      <c r="B36" s="202" t="str">
        <f t="shared" si="0"/>
        <v>1283000</v>
      </c>
      <c r="C36" s="203" t="s">
        <v>573</v>
      </c>
      <c r="D36" s="204" t="s">
        <v>579</v>
      </c>
      <c r="E36" s="204" t="s">
        <v>370</v>
      </c>
      <c r="F36" s="205" t="s">
        <v>45</v>
      </c>
      <c r="G36" s="184">
        <v>2</v>
      </c>
      <c r="H36" s="162" t="s">
        <v>30</v>
      </c>
      <c r="I36" s="216" t="s">
        <v>575</v>
      </c>
      <c r="J36" s="216"/>
      <c r="K36" s="175" t="s">
        <v>527</v>
      </c>
      <c r="L36" s="176"/>
      <c r="M36" s="176"/>
    </row>
    <row r="37" spans="1:13" ht="15.75" hidden="1" customHeight="1">
      <c r="A37" s="157"/>
      <c r="B37" s="158" t="str">
        <f t="shared" si="0"/>
        <v>1283101</v>
      </c>
      <c r="C37" s="177" t="s">
        <v>573</v>
      </c>
      <c r="D37" s="160" t="s">
        <v>571</v>
      </c>
      <c r="E37" s="160" t="s">
        <v>655</v>
      </c>
      <c r="F37" s="161" t="s">
        <v>45</v>
      </c>
      <c r="G37" s="162">
        <v>3</v>
      </c>
      <c r="H37" s="162"/>
      <c r="I37" s="162"/>
      <c r="J37" s="162"/>
      <c r="K37" s="175" t="s">
        <v>527</v>
      </c>
      <c r="L37" s="175" t="s">
        <v>532</v>
      </c>
      <c r="M37" s="176"/>
    </row>
    <row r="38" spans="1:13" ht="15.75" customHeight="1">
      <c r="A38" s="157"/>
      <c r="B38" s="170" t="str">
        <f t="shared" si="0"/>
        <v>1310000</v>
      </c>
      <c r="C38" s="171" t="s">
        <v>576</v>
      </c>
      <c r="D38" s="172" t="s">
        <v>370</v>
      </c>
      <c r="E38" s="172" t="s">
        <v>370</v>
      </c>
      <c r="F38" s="171" t="s">
        <v>46</v>
      </c>
      <c r="G38" s="178">
        <v>1</v>
      </c>
      <c r="H38" s="197" t="s">
        <v>30</v>
      </c>
      <c r="I38" s="201"/>
      <c r="J38" s="201"/>
      <c r="K38" s="175" t="s">
        <v>527</v>
      </c>
      <c r="L38" s="176"/>
      <c r="M38" s="176"/>
    </row>
    <row r="39" spans="1:13" ht="15.75" customHeight="1">
      <c r="A39" s="157"/>
      <c r="B39" s="202" t="str">
        <f t="shared" si="0"/>
        <v>1311000</v>
      </c>
      <c r="C39" s="203" t="s">
        <v>576</v>
      </c>
      <c r="D39" s="204" t="s">
        <v>569</v>
      </c>
      <c r="E39" s="204" t="s">
        <v>370</v>
      </c>
      <c r="F39" s="205" t="s">
        <v>46</v>
      </c>
      <c r="G39" s="184">
        <v>2</v>
      </c>
      <c r="H39" s="162" t="s">
        <v>30</v>
      </c>
      <c r="I39" s="216" t="s">
        <v>577</v>
      </c>
      <c r="J39" s="216"/>
      <c r="K39" s="175" t="s">
        <v>527</v>
      </c>
      <c r="L39" s="176"/>
      <c r="M39" s="176"/>
    </row>
    <row r="40" spans="1:13">
      <c r="A40" s="157"/>
      <c r="B40" s="158" t="str">
        <f t="shared" si="0"/>
        <v>1311101</v>
      </c>
      <c r="C40" s="177" t="s">
        <v>576</v>
      </c>
      <c r="D40" s="177" t="s">
        <v>566</v>
      </c>
      <c r="E40" s="160" t="s">
        <v>655</v>
      </c>
      <c r="F40" s="161" t="s">
        <v>46</v>
      </c>
      <c r="G40" s="162">
        <v>3</v>
      </c>
      <c r="H40" s="162"/>
      <c r="I40" s="180"/>
      <c r="J40" s="162"/>
      <c r="K40" s="175" t="s">
        <v>527</v>
      </c>
      <c r="L40" s="175" t="s">
        <v>57</v>
      </c>
      <c r="M40" s="176"/>
    </row>
    <row r="41" spans="1:13">
      <c r="A41" s="157"/>
      <c r="B41" s="202" t="str">
        <f t="shared" si="0"/>
        <v>1312000</v>
      </c>
      <c r="C41" s="203" t="s">
        <v>576</v>
      </c>
      <c r="D41" s="204" t="s">
        <v>578</v>
      </c>
      <c r="E41" s="204" t="s">
        <v>370</v>
      </c>
      <c r="F41" s="207" t="s">
        <v>47</v>
      </c>
      <c r="G41" s="184">
        <v>2</v>
      </c>
      <c r="H41" s="162" t="s">
        <v>30</v>
      </c>
      <c r="I41" s="180"/>
      <c r="J41" s="216" t="s">
        <v>844</v>
      </c>
      <c r="K41" s="175"/>
      <c r="L41" s="175"/>
      <c r="M41" s="176"/>
    </row>
    <row r="42" spans="1:13">
      <c r="A42" s="157"/>
      <c r="B42" s="158" t="str">
        <f t="shared" si="0"/>
        <v>1312101</v>
      </c>
      <c r="C42" s="177" t="s">
        <v>576</v>
      </c>
      <c r="D42" s="160" t="s">
        <v>567</v>
      </c>
      <c r="E42" s="160" t="s">
        <v>655</v>
      </c>
      <c r="F42" s="161" t="s">
        <v>47</v>
      </c>
      <c r="G42" s="162">
        <v>3</v>
      </c>
      <c r="H42" s="162"/>
      <c r="I42" s="162"/>
      <c r="J42" s="162"/>
      <c r="K42" s="175" t="s">
        <v>527</v>
      </c>
      <c r="L42" s="175" t="s">
        <v>57</v>
      </c>
      <c r="M42" s="176"/>
    </row>
    <row r="43" spans="1:13">
      <c r="A43" s="157"/>
      <c r="B43" s="202" t="str">
        <f t="shared" si="0"/>
        <v>1319000</v>
      </c>
      <c r="C43" s="203" t="s">
        <v>576</v>
      </c>
      <c r="D43" s="204" t="s">
        <v>580</v>
      </c>
      <c r="E43" s="204" t="s">
        <v>370</v>
      </c>
      <c r="F43" s="221" t="s">
        <v>841</v>
      </c>
      <c r="G43" s="184">
        <v>2</v>
      </c>
      <c r="H43" s="162" t="s">
        <v>30</v>
      </c>
      <c r="I43" s="216"/>
      <c r="J43" s="216"/>
      <c r="K43" s="175" t="s">
        <v>527</v>
      </c>
      <c r="L43" s="176"/>
      <c r="M43" s="176"/>
    </row>
    <row r="44" spans="1:13">
      <c r="A44" s="157"/>
      <c r="B44" s="158" t="str">
        <f t="shared" si="0"/>
        <v>1319101</v>
      </c>
      <c r="C44" s="177" t="s">
        <v>576</v>
      </c>
      <c r="D44" s="160" t="s">
        <v>614</v>
      </c>
      <c r="E44" s="160" t="s">
        <v>655</v>
      </c>
      <c r="F44" s="177" t="s">
        <v>662</v>
      </c>
      <c r="G44" s="162">
        <v>3</v>
      </c>
      <c r="H44" s="162"/>
      <c r="I44" s="162"/>
      <c r="J44" s="162"/>
      <c r="K44" s="175" t="s">
        <v>527</v>
      </c>
      <c r="L44" s="176"/>
      <c r="M44" s="176"/>
    </row>
    <row r="45" spans="1:13" hidden="1">
      <c r="A45" s="157"/>
      <c r="B45" s="170" t="str">
        <f t="shared" si="0"/>
        <v>1330000</v>
      </c>
      <c r="C45" s="171" t="s">
        <v>581</v>
      </c>
      <c r="D45" s="172" t="s">
        <v>370</v>
      </c>
      <c r="E45" s="172" t="s">
        <v>370</v>
      </c>
      <c r="F45" s="181" t="s">
        <v>48</v>
      </c>
      <c r="G45" s="178">
        <v>1</v>
      </c>
      <c r="H45" s="197" t="s">
        <v>30</v>
      </c>
      <c r="I45" s="201" t="s">
        <v>582</v>
      </c>
      <c r="J45" s="201"/>
      <c r="K45" s="175" t="s">
        <v>527</v>
      </c>
      <c r="L45" s="176"/>
      <c r="M45" s="176"/>
    </row>
    <row r="46" spans="1:13" ht="15.75" hidden="1" customHeight="1">
      <c r="A46" s="157"/>
      <c r="B46" s="202" t="str">
        <f t="shared" si="0"/>
        <v>1331000</v>
      </c>
      <c r="C46" s="203" t="s">
        <v>581</v>
      </c>
      <c r="D46" s="205">
        <v>10</v>
      </c>
      <c r="E46" s="204" t="s">
        <v>370</v>
      </c>
      <c r="F46" s="207" t="s">
        <v>49</v>
      </c>
      <c r="G46" s="184">
        <v>2</v>
      </c>
      <c r="H46" s="162" t="s">
        <v>30</v>
      </c>
      <c r="I46" s="216"/>
      <c r="J46" s="216"/>
      <c r="K46" s="175" t="s">
        <v>527</v>
      </c>
      <c r="L46" s="176"/>
      <c r="M46" s="176"/>
    </row>
    <row r="47" spans="1:13" ht="15.75" hidden="1" customHeight="1">
      <c r="A47" s="157"/>
      <c r="B47" s="158" t="str">
        <f t="shared" si="0"/>
        <v>1331101</v>
      </c>
      <c r="C47" s="177" t="s">
        <v>581</v>
      </c>
      <c r="D47" s="177" t="s">
        <v>566</v>
      </c>
      <c r="E47" s="160" t="s">
        <v>655</v>
      </c>
      <c r="F47" s="161" t="s">
        <v>50</v>
      </c>
      <c r="G47" s="162">
        <v>3</v>
      </c>
      <c r="H47" s="182"/>
      <c r="I47" s="162"/>
      <c r="J47" s="162"/>
      <c r="K47" s="175" t="s">
        <v>527</v>
      </c>
      <c r="L47" s="176"/>
      <c r="M47" s="176"/>
    </row>
    <row r="48" spans="1:13" ht="15.75" hidden="1" customHeight="1">
      <c r="A48" s="157"/>
      <c r="B48" s="202" t="str">
        <f t="shared" si="0"/>
        <v>1332000</v>
      </c>
      <c r="C48" s="203" t="s">
        <v>581</v>
      </c>
      <c r="D48" s="204" t="s">
        <v>578</v>
      </c>
      <c r="E48" s="204" t="s">
        <v>370</v>
      </c>
      <c r="F48" s="207" t="s">
        <v>50</v>
      </c>
      <c r="G48" s="184">
        <v>2</v>
      </c>
      <c r="H48" s="162" t="s">
        <v>30</v>
      </c>
      <c r="I48" s="216"/>
      <c r="J48" s="216"/>
      <c r="K48" s="175" t="s">
        <v>527</v>
      </c>
      <c r="L48" s="176"/>
      <c r="M48" s="176"/>
    </row>
    <row r="49" spans="1:14" ht="15.75" hidden="1" customHeight="1">
      <c r="A49" s="157"/>
      <c r="B49" s="158" t="str">
        <f t="shared" si="0"/>
        <v>1332101</v>
      </c>
      <c r="C49" s="177" t="s">
        <v>581</v>
      </c>
      <c r="D49" s="160" t="s">
        <v>567</v>
      </c>
      <c r="E49" s="160" t="s">
        <v>655</v>
      </c>
      <c r="F49" s="161" t="s">
        <v>50</v>
      </c>
      <c r="G49" s="162">
        <v>3</v>
      </c>
      <c r="H49" s="162"/>
      <c r="I49" s="162"/>
      <c r="J49" s="162"/>
      <c r="K49" s="175" t="s">
        <v>527</v>
      </c>
      <c r="L49" s="176"/>
      <c r="M49" s="176"/>
    </row>
    <row r="50" spans="1:14" ht="15.75" hidden="1" customHeight="1">
      <c r="A50" s="157"/>
      <c r="B50" s="170" t="str">
        <f t="shared" si="0"/>
        <v>1360000</v>
      </c>
      <c r="C50" s="171" t="s">
        <v>583</v>
      </c>
      <c r="D50" s="172" t="s">
        <v>370</v>
      </c>
      <c r="E50" s="172" t="s">
        <v>370</v>
      </c>
      <c r="F50" s="181" t="s">
        <v>51</v>
      </c>
      <c r="G50" s="178">
        <v>1</v>
      </c>
      <c r="H50" s="197" t="s">
        <v>30</v>
      </c>
      <c r="I50" s="201" t="s">
        <v>817</v>
      </c>
      <c r="J50" s="201"/>
      <c r="K50" s="175" t="s">
        <v>527</v>
      </c>
      <c r="L50" s="176"/>
      <c r="M50" s="176"/>
    </row>
    <row r="51" spans="1:14" ht="15.75" hidden="1" customHeight="1">
      <c r="A51" s="157"/>
      <c r="B51" s="202" t="str">
        <f t="shared" si="0"/>
        <v>1361000</v>
      </c>
      <c r="C51" s="203" t="s">
        <v>583</v>
      </c>
      <c r="D51" s="205">
        <v>10</v>
      </c>
      <c r="E51" s="204" t="s">
        <v>370</v>
      </c>
      <c r="F51" s="207" t="s">
        <v>52</v>
      </c>
      <c r="G51" s="184">
        <v>2</v>
      </c>
      <c r="H51" s="162" t="s">
        <v>30</v>
      </c>
      <c r="I51" s="216"/>
      <c r="J51" s="216"/>
      <c r="K51" s="175" t="s">
        <v>527</v>
      </c>
      <c r="L51" s="176"/>
      <c r="M51" s="176"/>
    </row>
    <row r="52" spans="1:14" ht="15.75" hidden="1" customHeight="1">
      <c r="A52" s="157"/>
      <c r="B52" s="158" t="str">
        <f t="shared" si="0"/>
        <v>1361101</v>
      </c>
      <c r="C52" s="177" t="s">
        <v>583</v>
      </c>
      <c r="D52" s="177" t="s">
        <v>566</v>
      </c>
      <c r="E52" s="160" t="s">
        <v>655</v>
      </c>
      <c r="F52" s="161" t="s">
        <v>52</v>
      </c>
      <c r="G52" s="162">
        <v>3</v>
      </c>
      <c r="H52" s="162"/>
      <c r="I52" s="162"/>
      <c r="J52" s="162"/>
      <c r="K52" s="175" t="s">
        <v>527</v>
      </c>
      <c r="L52" s="176"/>
      <c r="M52" s="176"/>
    </row>
    <row r="53" spans="1:14" ht="15.75" hidden="1" customHeight="1">
      <c r="A53" s="157"/>
      <c r="B53" s="202" t="str">
        <f t="shared" si="0"/>
        <v>1368000</v>
      </c>
      <c r="C53" s="203" t="s">
        <v>583</v>
      </c>
      <c r="D53" s="205">
        <v>80</v>
      </c>
      <c r="E53" s="204" t="s">
        <v>370</v>
      </c>
      <c r="F53" s="207" t="s">
        <v>53</v>
      </c>
      <c r="G53" s="184">
        <v>2</v>
      </c>
      <c r="H53" s="162" t="s">
        <v>30</v>
      </c>
      <c r="I53" s="216"/>
      <c r="J53" s="216"/>
      <c r="K53" s="175" t="s">
        <v>527</v>
      </c>
      <c r="L53" s="176"/>
      <c r="M53" s="176"/>
    </row>
    <row r="54" spans="1:14" ht="15.75" hidden="1" customHeight="1">
      <c r="A54" s="157"/>
      <c r="B54" s="158" t="str">
        <f t="shared" si="0"/>
        <v>1368101</v>
      </c>
      <c r="C54" s="177" t="s">
        <v>583</v>
      </c>
      <c r="D54" s="159">
        <v>81</v>
      </c>
      <c r="E54" s="160" t="s">
        <v>655</v>
      </c>
      <c r="F54" s="161" t="s">
        <v>53</v>
      </c>
      <c r="G54" s="162">
        <v>3</v>
      </c>
      <c r="H54" s="162"/>
      <c r="I54" s="162"/>
      <c r="J54" s="162"/>
      <c r="K54" s="175" t="s">
        <v>527</v>
      </c>
      <c r="L54" s="176"/>
      <c r="M54" s="176"/>
    </row>
    <row r="55" spans="1:14" ht="15.75" hidden="1" customHeight="1">
      <c r="A55" s="157"/>
      <c r="B55" s="170" t="str">
        <f t="shared" si="0"/>
        <v>1380000</v>
      </c>
      <c r="C55" s="171" t="s">
        <v>584</v>
      </c>
      <c r="D55" s="172" t="s">
        <v>370</v>
      </c>
      <c r="E55" s="172" t="s">
        <v>370</v>
      </c>
      <c r="F55" s="181" t="s">
        <v>54</v>
      </c>
      <c r="G55" s="178">
        <v>1</v>
      </c>
      <c r="H55" s="197" t="s">
        <v>30</v>
      </c>
      <c r="I55" s="201"/>
      <c r="J55" s="201"/>
      <c r="K55" s="175" t="s">
        <v>527</v>
      </c>
      <c r="L55" s="176"/>
      <c r="M55" s="176"/>
    </row>
    <row r="56" spans="1:14" ht="15.75" hidden="1" customHeight="1">
      <c r="A56" s="157"/>
      <c r="B56" s="202" t="str">
        <f t="shared" si="0"/>
        <v>1381000</v>
      </c>
      <c r="C56" s="203" t="s">
        <v>584</v>
      </c>
      <c r="D56" s="204" t="s">
        <v>569</v>
      </c>
      <c r="E56" s="204" t="s">
        <v>370</v>
      </c>
      <c r="F56" s="207" t="s">
        <v>55</v>
      </c>
      <c r="G56" s="184">
        <v>2</v>
      </c>
      <c r="H56" s="162" t="s">
        <v>30</v>
      </c>
      <c r="I56" s="216" t="s">
        <v>845</v>
      </c>
      <c r="J56" s="216"/>
      <c r="K56" s="175" t="s">
        <v>527</v>
      </c>
      <c r="L56" s="176"/>
      <c r="M56" s="176"/>
    </row>
    <row r="57" spans="1:14" ht="15.75" hidden="1" customHeight="1">
      <c r="A57" s="157"/>
      <c r="B57" s="158" t="str">
        <f t="shared" si="0"/>
        <v>1381101</v>
      </c>
      <c r="C57" s="177" t="s">
        <v>584</v>
      </c>
      <c r="D57" s="177" t="s">
        <v>566</v>
      </c>
      <c r="E57" s="160" t="s">
        <v>655</v>
      </c>
      <c r="F57" s="161" t="s">
        <v>55</v>
      </c>
      <c r="G57" s="162">
        <v>3</v>
      </c>
      <c r="H57" s="162"/>
      <c r="I57" s="162"/>
      <c r="J57" s="162"/>
      <c r="K57" s="175" t="s">
        <v>527</v>
      </c>
      <c r="L57" s="176"/>
      <c r="M57" s="176"/>
    </row>
    <row r="58" spans="1:14" ht="15.75" hidden="1" customHeight="1">
      <c r="A58" s="157"/>
      <c r="B58" s="158" t="str">
        <f t="shared" ref="B58" si="1">C58&amp;D58&amp;E58</f>
        <v>1381102</v>
      </c>
      <c r="C58" s="177" t="s">
        <v>584</v>
      </c>
      <c r="D58" s="177" t="s">
        <v>566</v>
      </c>
      <c r="E58" s="160" t="s">
        <v>657</v>
      </c>
      <c r="F58" s="161" t="s">
        <v>982</v>
      </c>
      <c r="G58" s="162">
        <v>3</v>
      </c>
      <c r="H58" s="162"/>
      <c r="I58" s="162"/>
      <c r="J58" s="162"/>
      <c r="K58" s="175" t="s">
        <v>527</v>
      </c>
      <c r="L58" s="176"/>
      <c r="M58" s="176"/>
      <c r="N58" s="324" t="s">
        <v>983</v>
      </c>
    </row>
    <row r="59" spans="1:14" ht="15.75" hidden="1" customHeight="1">
      <c r="A59" s="157"/>
      <c r="B59" s="202" t="str">
        <f t="shared" si="0"/>
        <v>1385000</v>
      </c>
      <c r="C59" s="203" t="s">
        <v>584</v>
      </c>
      <c r="D59" s="205">
        <v>50</v>
      </c>
      <c r="E59" s="204" t="s">
        <v>370</v>
      </c>
      <c r="F59" s="207" t="s">
        <v>56</v>
      </c>
      <c r="G59" s="184">
        <v>2</v>
      </c>
      <c r="H59" s="162" t="s">
        <v>30</v>
      </c>
      <c r="I59" s="216" t="s">
        <v>846</v>
      </c>
      <c r="J59" s="216"/>
      <c r="K59" s="175" t="s">
        <v>527</v>
      </c>
      <c r="L59" s="176"/>
      <c r="M59" s="176"/>
    </row>
    <row r="60" spans="1:14" ht="15.75" hidden="1" customHeight="1">
      <c r="A60" s="157"/>
      <c r="B60" s="158" t="str">
        <f t="shared" si="0"/>
        <v>1385101</v>
      </c>
      <c r="C60" s="177" t="s">
        <v>584</v>
      </c>
      <c r="D60" s="177" t="s">
        <v>585</v>
      </c>
      <c r="E60" s="160" t="s">
        <v>655</v>
      </c>
      <c r="F60" s="161" t="s">
        <v>56</v>
      </c>
      <c r="G60" s="162">
        <v>3</v>
      </c>
      <c r="H60" s="162"/>
      <c r="I60" s="162"/>
      <c r="J60" s="162"/>
      <c r="K60" s="175" t="s">
        <v>527</v>
      </c>
      <c r="L60" s="176"/>
      <c r="M60" s="176"/>
    </row>
    <row r="61" spans="1:14" ht="15.75" hidden="1" customHeight="1">
      <c r="A61" s="157"/>
      <c r="B61" s="202" t="str">
        <f t="shared" si="0"/>
        <v>1388000</v>
      </c>
      <c r="C61" s="203" t="s">
        <v>584</v>
      </c>
      <c r="D61" s="205">
        <v>80</v>
      </c>
      <c r="E61" s="204" t="s">
        <v>370</v>
      </c>
      <c r="F61" s="205" t="s">
        <v>54</v>
      </c>
      <c r="G61" s="184">
        <v>2</v>
      </c>
      <c r="H61" s="162" t="s">
        <v>30</v>
      </c>
      <c r="I61" s="216" t="s">
        <v>846</v>
      </c>
      <c r="J61" s="216"/>
      <c r="K61" s="175" t="s">
        <v>527</v>
      </c>
      <c r="L61" s="176"/>
      <c r="M61" s="176"/>
    </row>
    <row r="62" spans="1:14" ht="15.75" hidden="1" customHeight="1">
      <c r="A62" s="157"/>
      <c r="B62" s="158" t="str">
        <f t="shared" si="0"/>
        <v>1388101</v>
      </c>
      <c r="C62" s="177" t="s">
        <v>584</v>
      </c>
      <c r="D62" s="177" t="s">
        <v>586</v>
      </c>
      <c r="E62" s="160" t="s">
        <v>655</v>
      </c>
      <c r="F62" s="159" t="s">
        <v>522</v>
      </c>
      <c r="G62" s="162">
        <v>3</v>
      </c>
      <c r="H62" s="162"/>
      <c r="I62" s="162"/>
      <c r="J62" s="162"/>
      <c r="K62" s="175" t="s">
        <v>527</v>
      </c>
      <c r="L62" s="176"/>
      <c r="M62" s="176"/>
    </row>
    <row r="63" spans="1:14" ht="15.75" hidden="1" customHeight="1">
      <c r="A63" s="157"/>
      <c r="B63" s="202" t="str">
        <f t="shared" si="0"/>
        <v>1389000</v>
      </c>
      <c r="C63" s="203" t="s">
        <v>584</v>
      </c>
      <c r="D63" s="204" t="s">
        <v>580</v>
      </c>
      <c r="E63" s="204" t="s">
        <v>370</v>
      </c>
      <c r="F63" s="221" t="s">
        <v>661</v>
      </c>
      <c r="G63" s="184">
        <v>2</v>
      </c>
      <c r="H63" s="162" t="s">
        <v>30</v>
      </c>
      <c r="I63" s="216"/>
      <c r="J63" s="216"/>
      <c r="K63" s="175" t="s">
        <v>527</v>
      </c>
      <c r="L63" s="176"/>
      <c r="M63" s="176"/>
    </row>
    <row r="64" spans="1:14" ht="15.75" hidden="1" customHeight="1">
      <c r="A64" s="157"/>
      <c r="B64" s="158" t="str">
        <f t="shared" si="0"/>
        <v>1389101</v>
      </c>
      <c r="C64" s="177" t="s">
        <v>584</v>
      </c>
      <c r="D64" s="160" t="s">
        <v>614</v>
      </c>
      <c r="E64" s="160" t="s">
        <v>655</v>
      </c>
      <c r="F64" s="177" t="s">
        <v>663</v>
      </c>
      <c r="G64" s="162">
        <v>3</v>
      </c>
      <c r="H64" s="162"/>
      <c r="I64" s="162"/>
      <c r="J64" s="162"/>
      <c r="K64" s="175" t="s">
        <v>527</v>
      </c>
      <c r="L64" s="176"/>
      <c r="M64" s="176"/>
    </row>
    <row r="65" spans="1:13" ht="15.75" hidden="1" customHeight="1">
      <c r="A65" s="157"/>
      <c r="B65" s="170" t="str">
        <f t="shared" si="0"/>
        <v>1410000</v>
      </c>
      <c r="C65" s="171" t="s">
        <v>588</v>
      </c>
      <c r="D65" s="172" t="s">
        <v>370</v>
      </c>
      <c r="E65" s="172" t="s">
        <v>370</v>
      </c>
      <c r="F65" s="181" t="s">
        <v>58</v>
      </c>
      <c r="G65" s="178">
        <v>1</v>
      </c>
      <c r="H65" s="197" t="s">
        <v>30</v>
      </c>
      <c r="I65" s="201"/>
      <c r="J65" s="201"/>
      <c r="K65" s="175" t="s">
        <v>527</v>
      </c>
      <c r="L65" s="176"/>
      <c r="M65" s="176"/>
    </row>
    <row r="66" spans="1:13" ht="15.75" hidden="1" customHeight="1">
      <c r="A66" s="157"/>
      <c r="B66" s="202" t="str">
        <f t="shared" si="0"/>
        <v>1411000</v>
      </c>
      <c r="C66" s="203" t="s">
        <v>588</v>
      </c>
      <c r="D66" s="204" t="s">
        <v>569</v>
      </c>
      <c r="E66" s="204" t="s">
        <v>370</v>
      </c>
      <c r="F66" s="207" t="s">
        <v>58</v>
      </c>
      <c r="G66" s="184">
        <v>2</v>
      </c>
      <c r="H66" s="162" t="s">
        <v>30</v>
      </c>
      <c r="I66" s="216" t="s">
        <v>846</v>
      </c>
      <c r="J66" s="216"/>
      <c r="K66" s="175" t="s">
        <v>527</v>
      </c>
      <c r="L66" s="176"/>
      <c r="M66" s="176"/>
    </row>
    <row r="67" spans="1:13" ht="15.75" hidden="1" customHeight="1">
      <c r="A67" s="157"/>
      <c r="B67" s="158" t="str">
        <f t="shared" si="0"/>
        <v>1411101</v>
      </c>
      <c r="C67" s="177" t="s">
        <v>588</v>
      </c>
      <c r="D67" s="177" t="s">
        <v>566</v>
      </c>
      <c r="E67" s="160" t="s">
        <v>655</v>
      </c>
      <c r="F67" s="161" t="s">
        <v>58</v>
      </c>
      <c r="G67" s="162">
        <v>3</v>
      </c>
      <c r="H67" s="162"/>
      <c r="I67" s="162"/>
      <c r="J67" s="162"/>
      <c r="K67" s="175" t="s">
        <v>527</v>
      </c>
      <c r="L67" s="176"/>
      <c r="M67" s="176"/>
    </row>
    <row r="68" spans="1:13" ht="15.75" hidden="1" customHeight="1">
      <c r="A68" s="157"/>
      <c r="B68" s="170" t="str">
        <f t="shared" si="0"/>
        <v>1510000</v>
      </c>
      <c r="C68" s="171" t="s">
        <v>589</v>
      </c>
      <c r="D68" s="172" t="s">
        <v>370</v>
      </c>
      <c r="E68" s="172" t="s">
        <v>370</v>
      </c>
      <c r="F68" s="181" t="s">
        <v>59</v>
      </c>
      <c r="G68" s="178">
        <v>1</v>
      </c>
      <c r="H68" s="197" t="s">
        <v>30</v>
      </c>
      <c r="I68" s="201" t="s">
        <v>818</v>
      </c>
      <c r="J68" s="201"/>
      <c r="K68" s="175" t="s">
        <v>527</v>
      </c>
      <c r="L68" s="176"/>
      <c r="M68" s="176"/>
    </row>
    <row r="69" spans="1:13" ht="15.75" hidden="1" customHeight="1">
      <c r="A69" s="157"/>
      <c r="B69" s="202" t="str">
        <f t="shared" si="0"/>
        <v>1511000</v>
      </c>
      <c r="C69" s="203" t="s">
        <v>589</v>
      </c>
      <c r="D69" s="204" t="s">
        <v>569</v>
      </c>
      <c r="E69" s="204" t="s">
        <v>370</v>
      </c>
      <c r="F69" s="207" t="s">
        <v>59</v>
      </c>
      <c r="G69" s="184">
        <v>2</v>
      </c>
      <c r="H69" s="162" t="s">
        <v>30</v>
      </c>
      <c r="I69" s="216"/>
      <c r="J69" s="216"/>
      <c r="K69" s="175" t="s">
        <v>527</v>
      </c>
      <c r="L69" s="176"/>
      <c r="M69" s="176"/>
    </row>
    <row r="70" spans="1:13" ht="15.75" hidden="1" customHeight="1">
      <c r="A70" s="157"/>
      <c r="B70" s="158" t="str">
        <f t="shared" si="0"/>
        <v>1511101</v>
      </c>
      <c r="C70" s="177" t="s">
        <v>589</v>
      </c>
      <c r="D70" s="177" t="s">
        <v>566</v>
      </c>
      <c r="E70" s="160" t="s">
        <v>655</v>
      </c>
      <c r="F70" s="161" t="s">
        <v>59</v>
      </c>
      <c r="G70" s="162">
        <v>3</v>
      </c>
      <c r="H70" s="162"/>
      <c r="I70" s="162"/>
      <c r="J70" s="162"/>
      <c r="K70" s="175" t="s">
        <v>527</v>
      </c>
      <c r="L70" s="176"/>
      <c r="M70" s="176"/>
    </row>
    <row r="71" spans="1:13" ht="15.75" hidden="1" customHeight="1">
      <c r="A71" s="157"/>
      <c r="B71" s="170" t="str">
        <f t="shared" si="0"/>
        <v>1520000</v>
      </c>
      <c r="C71" s="171" t="s">
        <v>590</v>
      </c>
      <c r="D71" s="172" t="s">
        <v>370</v>
      </c>
      <c r="E71" s="172" t="s">
        <v>370</v>
      </c>
      <c r="F71" s="181" t="s">
        <v>60</v>
      </c>
      <c r="G71" s="178">
        <v>1</v>
      </c>
      <c r="H71" s="197" t="s">
        <v>30</v>
      </c>
      <c r="I71" s="201" t="s">
        <v>818</v>
      </c>
      <c r="J71" s="201"/>
      <c r="K71" s="175" t="s">
        <v>527</v>
      </c>
      <c r="L71" s="176"/>
      <c r="M71" s="176"/>
    </row>
    <row r="72" spans="1:13" ht="15.75" hidden="1" customHeight="1">
      <c r="A72" s="157"/>
      <c r="B72" s="202" t="str">
        <f t="shared" si="0"/>
        <v>1521000</v>
      </c>
      <c r="C72" s="203" t="s">
        <v>590</v>
      </c>
      <c r="D72" s="204" t="s">
        <v>569</v>
      </c>
      <c r="E72" s="204" t="s">
        <v>370</v>
      </c>
      <c r="F72" s="207" t="s">
        <v>60</v>
      </c>
      <c r="G72" s="184">
        <v>2</v>
      </c>
      <c r="H72" s="162" t="s">
        <v>30</v>
      </c>
      <c r="I72" s="216"/>
      <c r="J72" s="216"/>
      <c r="K72" s="175" t="s">
        <v>527</v>
      </c>
      <c r="L72" s="176"/>
      <c r="M72" s="176"/>
    </row>
    <row r="73" spans="1:13" ht="15.75" hidden="1" customHeight="1">
      <c r="A73" s="157"/>
      <c r="B73" s="158" t="str">
        <f t="shared" ref="B73:B136" si="2">C73&amp;D73&amp;E73</f>
        <v>1521101</v>
      </c>
      <c r="C73" s="177" t="s">
        <v>590</v>
      </c>
      <c r="D73" s="177" t="s">
        <v>566</v>
      </c>
      <c r="E73" s="160" t="s">
        <v>655</v>
      </c>
      <c r="F73" s="161" t="s">
        <v>60</v>
      </c>
      <c r="G73" s="162">
        <v>3</v>
      </c>
      <c r="H73" s="162"/>
      <c r="I73" s="162"/>
      <c r="J73" s="162"/>
      <c r="K73" s="175" t="s">
        <v>527</v>
      </c>
      <c r="L73" s="176"/>
      <c r="M73" s="176"/>
    </row>
    <row r="74" spans="1:13" ht="15.75" hidden="1" customHeight="1">
      <c r="A74" s="157"/>
      <c r="B74" s="170" t="str">
        <f t="shared" si="2"/>
        <v>1530000</v>
      </c>
      <c r="C74" s="171" t="s">
        <v>591</v>
      </c>
      <c r="D74" s="172" t="s">
        <v>370</v>
      </c>
      <c r="E74" s="172" t="s">
        <v>370</v>
      </c>
      <c r="F74" s="181" t="s">
        <v>61</v>
      </c>
      <c r="G74" s="178">
        <v>1</v>
      </c>
      <c r="H74" s="197" t="s">
        <v>30</v>
      </c>
      <c r="I74" s="201" t="s">
        <v>818</v>
      </c>
      <c r="J74" s="201"/>
      <c r="K74" s="175" t="s">
        <v>527</v>
      </c>
      <c r="L74" s="176"/>
      <c r="M74" s="176"/>
    </row>
    <row r="75" spans="1:13" ht="15.75" hidden="1" customHeight="1">
      <c r="A75" s="157"/>
      <c r="B75" s="202" t="str">
        <f t="shared" si="2"/>
        <v>1531000</v>
      </c>
      <c r="C75" s="203" t="s">
        <v>591</v>
      </c>
      <c r="D75" s="204" t="s">
        <v>569</v>
      </c>
      <c r="E75" s="204" t="s">
        <v>370</v>
      </c>
      <c r="F75" s="207" t="s">
        <v>61</v>
      </c>
      <c r="G75" s="184">
        <v>2</v>
      </c>
      <c r="H75" s="162" t="s">
        <v>30</v>
      </c>
      <c r="I75" s="216"/>
      <c r="J75" s="216"/>
      <c r="K75" s="175" t="s">
        <v>527</v>
      </c>
      <c r="L75" s="176"/>
      <c r="M75" s="176"/>
    </row>
    <row r="76" spans="1:13" ht="15.75" hidden="1" customHeight="1">
      <c r="A76" s="157"/>
      <c r="B76" s="158" t="str">
        <f t="shared" si="2"/>
        <v>1531101</v>
      </c>
      <c r="C76" s="177" t="s">
        <v>591</v>
      </c>
      <c r="D76" s="177" t="s">
        <v>566</v>
      </c>
      <c r="E76" s="160" t="s">
        <v>655</v>
      </c>
      <c r="F76" s="161" t="s">
        <v>61</v>
      </c>
      <c r="G76" s="162">
        <v>3</v>
      </c>
      <c r="H76" s="162"/>
      <c r="I76" s="162"/>
      <c r="J76" s="162"/>
      <c r="K76" s="175" t="s">
        <v>527</v>
      </c>
      <c r="L76" s="176"/>
      <c r="M76" s="176"/>
    </row>
    <row r="77" spans="1:13" ht="15.75" hidden="1" customHeight="1">
      <c r="A77" s="157"/>
      <c r="B77" s="202" t="str">
        <f t="shared" si="2"/>
        <v>1532000</v>
      </c>
      <c r="C77" s="203" t="s">
        <v>591</v>
      </c>
      <c r="D77" s="204" t="s">
        <v>578</v>
      </c>
      <c r="E77" s="204" t="s">
        <v>370</v>
      </c>
      <c r="F77" s="207" t="s">
        <v>62</v>
      </c>
      <c r="G77" s="184">
        <v>2</v>
      </c>
      <c r="H77" s="162" t="s">
        <v>30</v>
      </c>
      <c r="I77" s="216"/>
      <c r="J77" s="216"/>
      <c r="K77" s="175" t="s">
        <v>527</v>
      </c>
      <c r="L77" s="176"/>
      <c r="M77" s="176"/>
    </row>
    <row r="78" spans="1:13" ht="15.75" hidden="1" customHeight="1">
      <c r="A78" s="157"/>
      <c r="B78" s="158" t="str">
        <f t="shared" si="2"/>
        <v>1532101</v>
      </c>
      <c r="C78" s="177" t="s">
        <v>591</v>
      </c>
      <c r="D78" s="159">
        <v>21</v>
      </c>
      <c r="E78" s="160" t="s">
        <v>655</v>
      </c>
      <c r="F78" s="161" t="s">
        <v>62</v>
      </c>
      <c r="G78" s="162">
        <v>3</v>
      </c>
      <c r="H78" s="162"/>
      <c r="I78" s="162"/>
      <c r="J78" s="162"/>
      <c r="K78" s="175" t="s">
        <v>527</v>
      </c>
      <c r="L78" s="176"/>
      <c r="M78" s="176"/>
    </row>
    <row r="79" spans="1:13" ht="15.75" hidden="1" customHeight="1">
      <c r="A79" s="157"/>
      <c r="B79" s="202" t="str">
        <f t="shared" si="2"/>
        <v>1533000</v>
      </c>
      <c r="C79" s="203" t="s">
        <v>591</v>
      </c>
      <c r="D79" s="204" t="s">
        <v>579</v>
      </c>
      <c r="E79" s="204" t="s">
        <v>370</v>
      </c>
      <c r="F79" s="207" t="s">
        <v>63</v>
      </c>
      <c r="G79" s="184">
        <v>2</v>
      </c>
      <c r="H79" s="162" t="s">
        <v>30</v>
      </c>
      <c r="I79" s="216"/>
      <c r="J79" s="216"/>
      <c r="K79" s="175" t="s">
        <v>527</v>
      </c>
      <c r="L79" s="176"/>
      <c r="M79" s="176"/>
    </row>
    <row r="80" spans="1:13" ht="15.75" hidden="1" customHeight="1">
      <c r="A80" s="157"/>
      <c r="B80" s="158" t="str">
        <f t="shared" si="2"/>
        <v>1533101</v>
      </c>
      <c r="C80" s="177" t="s">
        <v>591</v>
      </c>
      <c r="D80" s="160" t="s">
        <v>571</v>
      </c>
      <c r="E80" s="160" t="s">
        <v>655</v>
      </c>
      <c r="F80" s="161" t="s">
        <v>63</v>
      </c>
      <c r="G80" s="162">
        <v>3</v>
      </c>
      <c r="H80" s="162"/>
      <c r="I80" s="162"/>
      <c r="J80" s="162"/>
      <c r="K80" s="175" t="s">
        <v>527</v>
      </c>
      <c r="L80" s="176"/>
      <c r="M80" s="176"/>
    </row>
    <row r="81" spans="1:13" ht="15.75" hidden="1" customHeight="1">
      <c r="A81" s="157"/>
      <c r="B81" s="202" t="str">
        <f t="shared" si="2"/>
        <v>1534000</v>
      </c>
      <c r="C81" s="203" t="s">
        <v>591</v>
      </c>
      <c r="D81" s="204" t="s">
        <v>664</v>
      </c>
      <c r="E81" s="204" t="s">
        <v>370</v>
      </c>
      <c r="F81" s="207" t="s">
        <v>64</v>
      </c>
      <c r="G81" s="184">
        <v>2</v>
      </c>
      <c r="H81" s="162" t="s">
        <v>30</v>
      </c>
      <c r="I81" s="216"/>
      <c r="J81" s="216"/>
      <c r="K81" s="175" t="s">
        <v>527</v>
      </c>
      <c r="L81" s="176"/>
      <c r="M81" s="176"/>
    </row>
    <row r="82" spans="1:13" ht="15.75" hidden="1" customHeight="1">
      <c r="A82" s="157"/>
      <c r="B82" s="158" t="str">
        <f t="shared" si="2"/>
        <v>1534101</v>
      </c>
      <c r="C82" s="177" t="s">
        <v>591</v>
      </c>
      <c r="D82" s="160" t="s">
        <v>592</v>
      </c>
      <c r="E82" s="160" t="s">
        <v>655</v>
      </c>
      <c r="F82" s="161" t="s">
        <v>64</v>
      </c>
      <c r="G82" s="162">
        <v>3</v>
      </c>
      <c r="H82" s="162"/>
      <c r="I82" s="162"/>
      <c r="J82" s="162"/>
      <c r="K82" s="175" t="s">
        <v>527</v>
      </c>
      <c r="L82" s="176"/>
      <c r="M82" s="176"/>
    </row>
    <row r="83" spans="1:13" ht="15.75" hidden="1" customHeight="1">
      <c r="A83" s="157"/>
      <c r="B83" s="170" t="str">
        <f t="shared" si="2"/>
        <v>1540000</v>
      </c>
      <c r="C83" s="171" t="s">
        <v>593</v>
      </c>
      <c r="D83" s="172" t="s">
        <v>370</v>
      </c>
      <c r="E83" s="172" t="s">
        <v>370</v>
      </c>
      <c r="F83" s="181" t="s">
        <v>65</v>
      </c>
      <c r="G83" s="178">
        <v>1</v>
      </c>
      <c r="H83" s="197" t="s">
        <v>30</v>
      </c>
      <c r="I83" s="201" t="s">
        <v>818</v>
      </c>
      <c r="J83" s="201"/>
      <c r="K83" s="175" t="s">
        <v>527</v>
      </c>
      <c r="L83" s="176"/>
      <c r="M83" s="176"/>
    </row>
    <row r="84" spans="1:13" ht="15.75" hidden="1" customHeight="1">
      <c r="A84" s="157"/>
      <c r="B84" s="202" t="str">
        <f t="shared" si="2"/>
        <v>1541000</v>
      </c>
      <c r="C84" s="203" t="s">
        <v>593</v>
      </c>
      <c r="D84" s="204" t="s">
        <v>569</v>
      </c>
      <c r="E84" s="204" t="s">
        <v>370</v>
      </c>
      <c r="F84" s="207" t="s">
        <v>65</v>
      </c>
      <c r="G84" s="184">
        <v>2</v>
      </c>
      <c r="H84" s="162" t="s">
        <v>30</v>
      </c>
      <c r="I84" s="216"/>
      <c r="J84" s="216"/>
      <c r="K84" s="175" t="s">
        <v>527</v>
      </c>
      <c r="L84" s="176"/>
      <c r="M84" s="176"/>
    </row>
    <row r="85" spans="1:13" ht="15.75" hidden="1" customHeight="1">
      <c r="A85" s="157"/>
      <c r="B85" s="158" t="str">
        <f t="shared" si="2"/>
        <v>1541101</v>
      </c>
      <c r="C85" s="177" t="s">
        <v>593</v>
      </c>
      <c r="D85" s="177" t="s">
        <v>566</v>
      </c>
      <c r="E85" s="160" t="s">
        <v>655</v>
      </c>
      <c r="F85" s="161" t="s">
        <v>65</v>
      </c>
      <c r="G85" s="162">
        <v>3</v>
      </c>
      <c r="H85" s="162"/>
      <c r="I85" s="162"/>
      <c r="J85" s="162"/>
      <c r="K85" s="175" t="s">
        <v>527</v>
      </c>
      <c r="L85" s="176"/>
      <c r="M85" s="176"/>
    </row>
    <row r="86" spans="1:13" ht="15.75" hidden="1" customHeight="1">
      <c r="A86" s="157"/>
      <c r="B86" s="170" t="str">
        <f t="shared" si="2"/>
        <v>1550000</v>
      </c>
      <c r="C86" s="171" t="s">
        <v>594</v>
      </c>
      <c r="D86" s="172" t="s">
        <v>370</v>
      </c>
      <c r="E86" s="172" t="s">
        <v>370</v>
      </c>
      <c r="F86" s="181" t="s">
        <v>66</v>
      </c>
      <c r="G86" s="178">
        <v>1</v>
      </c>
      <c r="H86" s="197" t="s">
        <v>30</v>
      </c>
      <c r="I86" s="201" t="s">
        <v>818</v>
      </c>
      <c r="J86" s="201"/>
      <c r="K86" s="175" t="s">
        <v>527</v>
      </c>
      <c r="L86" s="176"/>
      <c r="M86" s="176"/>
    </row>
    <row r="87" spans="1:13" ht="15.75" hidden="1" customHeight="1">
      <c r="A87" s="157"/>
      <c r="B87" s="202" t="str">
        <f t="shared" si="2"/>
        <v>1551000</v>
      </c>
      <c r="C87" s="203" t="s">
        <v>594</v>
      </c>
      <c r="D87" s="204" t="s">
        <v>569</v>
      </c>
      <c r="E87" s="204" t="s">
        <v>370</v>
      </c>
      <c r="F87" s="207" t="s">
        <v>66</v>
      </c>
      <c r="G87" s="184">
        <v>2</v>
      </c>
      <c r="H87" s="162" t="s">
        <v>30</v>
      </c>
      <c r="I87" s="216"/>
      <c r="J87" s="216"/>
      <c r="K87" s="175" t="s">
        <v>527</v>
      </c>
      <c r="L87" s="176"/>
      <c r="M87" s="176"/>
    </row>
    <row r="88" spans="1:13" ht="15.75" hidden="1" customHeight="1">
      <c r="A88" s="157"/>
      <c r="B88" s="158" t="str">
        <f t="shared" si="2"/>
        <v>1551101</v>
      </c>
      <c r="C88" s="177" t="s">
        <v>594</v>
      </c>
      <c r="D88" s="177" t="s">
        <v>566</v>
      </c>
      <c r="E88" s="160" t="s">
        <v>655</v>
      </c>
      <c r="F88" s="161" t="s">
        <v>66</v>
      </c>
      <c r="G88" s="162">
        <v>3</v>
      </c>
      <c r="H88" s="162"/>
      <c r="I88" s="162"/>
      <c r="J88" s="162"/>
      <c r="K88" s="175" t="s">
        <v>527</v>
      </c>
      <c r="L88" s="176"/>
      <c r="M88" s="176"/>
    </row>
    <row r="89" spans="1:13" ht="15.75" hidden="1" customHeight="1">
      <c r="A89" s="157"/>
      <c r="B89" s="202" t="str">
        <f t="shared" si="2"/>
        <v>1557000</v>
      </c>
      <c r="C89" s="203" t="s">
        <v>594</v>
      </c>
      <c r="D89" s="204" t="s">
        <v>668</v>
      </c>
      <c r="E89" s="204" t="s">
        <v>370</v>
      </c>
      <c r="F89" s="207" t="s">
        <v>67</v>
      </c>
      <c r="G89" s="184">
        <v>2</v>
      </c>
      <c r="H89" s="162" t="s">
        <v>30</v>
      </c>
      <c r="I89" s="216"/>
      <c r="J89" s="216"/>
      <c r="K89" s="175" t="s">
        <v>527</v>
      </c>
      <c r="L89" s="176"/>
      <c r="M89" s="176"/>
    </row>
    <row r="90" spans="1:13" ht="15.75" hidden="1" customHeight="1">
      <c r="A90" s="157"/>
      <c r="B90" s="158" t="str">
        <f t="shared" si="2"/>
        <v>1557101</v>
      </c>
      <c r="C90" s="177" t="s">
        <v>594</v>
      </c>
      <c r="D90" s="159">
        <v>71</v>
      </c>
      <c r="E90" s="160" t="s">
        <v>655</v>
      </c>
      <c r="F90" s="161" t="s">
        <v>67</v>
      </c>
      <c r="G90" s="162">
        <v>3</v>
      </c>
      <c r="H90" s="162"/>
      <c r="I90" s="162"/>
      <c r="J90" s="162"/>
      <c r="K90" s="175" t="s">
        <v>527</v>
      </c>
      <c r="L90" s="176"/>
      <c r="M90" s="176"/>
    </row>
    <row r="91" spans="1:13" ht="15.75" hidden="1" customHeight="1">
      <c r="A91" s="157"/>
      <c r="B91" s="170" t="str">
        <f t="shared" si="2"/>
        <v>1560000</v>
      </c>
      <c r="C91" s="171" t="s">
        <v>595</v>
      </c>
      <c r="D91" s="172" t="s">
        <v>370</v>
      </c>
      <c r="E91" s="172" t="s">
        <v>370</v>
      </c>
      <c r="F91" s="171" t="s">
        <v>68</v>
      </c>
      <c r="G91" s="178">
        <v>1</v>
      </c>
      <c r="H91" s="197" t="s">
        <v>30</v>
      </c>
      <c r="I91" s="201" t="s">
        <v>818</v>
      </c>
      <c r="J91" s="201"/>
      <c r="K91" s="175" t="s">
        <v>527</v>
      </c>
      <c r="L91" s="176"/>
      <c r="M91" s="176"/>
    </row>
    <row r="92" spans="1:13" ht="15.75" hidden="1" customHeight="1">
      <c r="A92" s="157"/>
      <c r="B92" s="202" t="str">
        <f t="shared" si="2"/>
        <v>1561000</v>
      </c>
      <c r="C92" s="203" t="s">
        <v>595</v>
      </c>
      <c r="D92" s="204" t="s">
        <v>569</v>
      </c>
      <c r="E92" s="204" t="s">
        <v>370</v>
      </c>
      <c r="F92" s="207" t="s">
        <v>69</v>
      </c>
      <c r="G92" s="184">
        <v>2</v>
      </c>
      <c r="H92" s="162" t="s">
        <v>30</v>
      </c>
      <c r="I92" s="216"/>
      <c r="J92" s="216"/>
      <c r="K92" s="175" t="s">
        <v>527</v>
      </c>
      <c r="L92" s="176"/>
      <c r="M92" s="176"/>
    </row>
    <row r="93" spans="1:13" ht="15.75" hidden="1" customHeight="1">
      <c r="A93" s="157"/>
      <c r="B93" s="158" t="str">
        <f t="shared" si="2"/>
        <v>1561101</v>
      </c>
      <c r="C93" s="177" t="s">
        <v>595</v>
      </c>
      <c r="D93" s="177" t="s">
        <v>566</v>
      </c>
      <c r="E93" s="160" t="s">
        <v>655</v>
      </c>
      <c r="F93" s="161" t="s">
        <v>69</v>
      </c>
      <c r="G93" s="162">
        <v>3</v>
      </c>
      <c r="H93" s="162"/>
      <c r="I93" s="162"/>
      <c r="J93" s="162"/>
      <c r="K93" s="175" t="s">
        <v>527</v>
      </c>
      <c r="L93" s="176"/>
      <c r="M93" s="176"/>
    </row>
    <row r="94" spans="1:13" ht="15.75" hidden="1" customHeight="1">
      <c r="A94" s="157"/>
      <c r="B94" s="170" t="str">
        <f t="shared" si="2"/>
        <v>1570000</v>
      </c>
      <c r="C94" s="171" t="s">
        <v>596</v>
      </c>
      <c r="D94" s="172" t="s">
        <v>370</v>
      </c>
      <c r="E94" s="172" t="s">
        <v>370</v>
      </c>
      <c r="F94" s="181" t="s">
        <v>70</v>
      </c>
      <c r="G94" s="178">
        <v>1</v>
      </c>
      <c r="H94" s="197" t="s">
        <v>30</v>
      </c>
      <c r="I94" s="201" t="s">
        <v>818</v>
      </c>
      <c r="J94" s="201"/>
      <c r="K94" s="175" t="s">
        <v>527</v>
      </c>
      <c r="L94" s="176"/>
      <c r="M94" s="176"/>
    </row>
    <row r="95" spans="1:13" ht="15.75" hidden="1" customHeight="1">
      <c r="A95" s="157"/>
      <c r="B95" s="202" t="str">
        <f t="shared" si="2"/>
        <v>1571000</v>
      </c>
      <c r="C95" s="203" t="s">
        <v>596</v>
      </c>
      <c r="D95" s="204" t="s">
        <v>569</v>
      </c>
      <c r="E95" s="204" t="s">
        <v>370</v>
      </c>
      <c r="F95" s="207" t="s">
        <v>70</v>
      </c>
      <c r="G95" s="184">
        <v>2</v>
      </c>
      <c r="H95" s="162" t="s">
        <v>30</v>
      </c>
      <c r="I95" s="216"/>
      <c r="J95" s="216"/>
      <c r="K95" s="175" t="s">
        <v>527</v>
      </c>
      <c r="L95" s="176"/>
      <c r="M95" s="176"/>
    </row>
    <row r="96" spans="1:13" ht="15.75" hidden="1" customHeight="1">
      <c r="A96" s="157"/>
      <c r="B96" s="158" t="str">
        <f t="shared" si="2"/>
        <v>1571101</v>
      </c>
      <c r="C96" s="177" t="s">
        <v>596</v>
      </c>
      <c r="D96" s="177" t="s">
        <v>566</v>
      </c>
      <c r="E96" s="160" t="s">
        <v>655</v>
      </c>
      <c r="F96" s="161" t="s">
        <v>70</v>
      </c>
      <c r="G96" s="162">
        <v>3</v>
      </c>
      <c r="H96" s="162"/>
      <c r="I96" s="162"/>
      <c r="J96" s="162"/>
      <c r="K96" s="175" t="s">
        <v>527</v>
      </c>
      <c r="L96" s="176"/>
      <c r="M96" s="176"/>
    </row>
    <row r="97" spans="1:13" hidden="1">
      <c r="A97" s="157"/>
      <c r="B97" s="170" t="str">
        <f t="shared" si="2"/>
        <v>2110000</v>
      </c>
      <c r="C97" s="171" t="s">
        <v>597</v>
      </c>
      <c r="D97" s="190" t="s">
        <v>370</v>
      </c>
      <c r="E97" s="172" t="s">
        <v>370</v>
      </c>
      <c r="F97" s="181" t="s">
        <v>71</v>
      </c>
      <c r="G97" s="178">
        <v>1</v>
      </c>
      <c r="H97" s="197" t="s">
        <v>30</v>
      </c>
      <c r="I97" s="201" t="s">
        <v>847</v>
      </c>
      <c r="J97" s="201"/>
      <c r="K97" s="175" t="s">
        <v>527</v>
      </c>
      <c r="L97" s="176"/>
      <c r="M97" s="176"/>
    </row>
    <row r="98" spans="1:13" ht="15.75" hidden="1" customHeight="1">
      <c r="A98" s="157"/>
      <c r="B98" s="202" t="str">
        <f t="shared" si="2"/>
        <v>2111000</v>
      </c>
      <c r="C98" s="203" t="s">
        <v>597</v>
      </c>
      <c r="D98" s="208" t="s">
        <v>569</v>
      </c>
      <c r="E98" s="204" t="s">
        <v>370</v>
      </c>
      <c r="F98" s="207" t="s">
        <v>71</v>
      </c>
      <c r="G98" s="184">
        <v>2</v>
      </c>
      <c r="H98" s="162" t="s">
        <v>30</v>
      </c>
      <c r="I98" s="216"/>
      <c r="J98" s="216"/>
      <c r="K98" s="175" t="s">
        <v>527</v>
      </c>
      <c r="L98" s="176"/>
      <c r="M98" s="176"/>
    </row>
    <row r="99" spans="1:13" ht="15.75" hidden="1" customHeight="1">
      <c r="A99" s="157"/>
      <c r="B99" s="158" t="str">
        <f t="shared" si="2"/>
        <v>2111101</v>
      </c>
      <c r="C99" s="177" t="s">
        <v>597</v>
      </c>
      <c r="D99" s="159" t="s">
        <v>566</v>
      </c>
      <c r="E99" s="160" t="s">
        <v>655</v>
      </c>
      <c r="F99" s="161" t="s">
        <v>72</v>
      </c>
      <c r="G99" s="162">
        <v>3</v>
      </c>
      <c r="H99" s="162"/>
      <c r="I99" s="184"/>
      <c r="J99" s="184"/>
      <c r="K99" s="175" t="s">
        <v>527</v>
      </c>
      <c r="L99" s="176"/>
      <c r="M99" s="176"/>
    </row>
    <row r="100" spans="1:13" ht="15.75" hidden="1" customHeight="1">
      <c r="A100" s="157"/>
      <c r="B100" s="202" t="str">
        <f t="shared" si="2"/>
        <v>2112000</v>
      </c>
      <c r="C100" s="203" t="s">
        <v>597</v>
      </c>
      <c r="D100" s="205">
        <v>20</v>
      </c>
      <c r="E100" s="204" t="s">
        <v>370</v>
      </c>
      <c r="F100" s="207" t="s">
        <v>73</v>
      </c>
      <c r="G100" s="184">
        <v>2</v>
      </c>
      <c r="H100" s="162" t="s">
        <v>30</v>
      </c>
      <c r="I100" s="184"/>
      <c r="J100" s="217"/>
      <c r="K100" s="175" t="s">
        <v>527</v>
      </c>
      <c r="L100" s="176"/>
      <c r="M100" s="176"/>
    </row>
    <row r="101" spans="1:13" ht="15.75" hidden="1" customHeight="1">
      <c r="A101" s="157"/>
      <c r="B101" s="158" t="str">
        <f t="shared" si="2"/>
        <v>2112101</v>
      </c>
      <c r="C101" s="177" t="s">
        <v>597</v>
      </c>
      <c r="D101" s="159" t="s">
        <v>567</v>
      </c>
      <c r="E101" s="160" t="s">
        <v>655</v>
      </c>
      <c r="F101" s="161" t="s">
        <v>73</v>
      </c>
      <c r="G101" s="162">
        <v>3</v>
      </c>
      <c r="H101" s="162"/>
      <c r="I101" s="184"/>
      <c r="J101" s="184"/>
      <c r="K101" s="175" t="s">
        <v>527</v>
      </c>
      <c r="L101" s="176"/>
      <c r="M101" s="176"/>
    </row>
    <row r="102" spans="1:13" ht="15.75" hidden="1" customHeight="1">
      <c r="A102" s="157"/>
      <c r="B102" s="202" t="str">
        <f t="shared" si="2"/>
        <v>2113000</v>
      </c>
      <c r="C102" s="203" t="s">
        <v>597</v>
      </c>
      <c r="D102" s="205">
        <v>30</v>
      </c>
      <c r="E102" s="204" t="s">
        <v>370</v>
      </c>
      <c r="F102" s="207" t="s">
        <v>74</v>
      </c>
      <c r="G102" s="184">
        <v>2</v>
      </c>
      <c r="H102" s="162" t="s">
        <v>30</v>
      </c>
      <c r="I102" s="217"/>
      <c r="J102" s="217"/>
      <c r="K102" s="175" t="s">
        <v>527</v>
      </c>
      <c r="L102" s="176"/>
      <c r="M102" s="176"/>
    </row>
    <row r="103" spans="1:13" ht="15.75" customHeight="1">
      <c r="A103" s="157"/>
      <c r="B103" s="158" t="str">
        <f t="shared" si="2"/>
        <v>2113101</v>
      </c>
      <c r="C103" s="177" t="s">
        <v>597</v>
      </c>
      <c r="D103" s="159" t="s">
        <v>571</v>
      </c>
      <c r="E103" s="160" t="s">
        <v>655</v>
      </c>
      <c r="F103" s="161" t="s">
        <v>74</v>
      </c>
      <c r="G103" s="162">
        <v>3</v>
      </c>
      <c r="H103" s="162"/>
      <c r="I103" s="184"/>
      <c r="J103" s="184"/>
      <c r="K103" s="175" t="s">
        <v>527</v>
      </c>
      <c r="L103" s="176"/>
      <c r="M103" s="176"/>
    </row>
    <row r="104" spans="1:13" ht="15.75" hidden="1" customHeight="1">
      <c r="A104" s="157"/>
      <c r="B104" s="202" t="str">
        <f t="shared" si="2"/>
        <v>2114000</v>
      </c>
      <c r="C104" s="203" t="s">
        <v>597</v>
      </c>
      <c r="D104" s="205">
        <v>40</v>
      </c>
      <c r="E104" s="204" t="s">
        <v>370</v>
      </c>
      <c r="F104" s="207" t="s">
        <v>75</v>
      </c>
      <c r="G104" s="184">
        <v>2</v>
      </c>
      <c r="H104" s="162" t="s">
        <v>30</v>
      </c>
      <c r="I104" s="217"/>
      <c r="J104" s="217"/>
      <c r="K104" s="175" t="s">
        <v>527</v>
      </c>
      <c r="L104" s="176"/>
      <c r="M104" s="176"/>
    </row>
    <row r="105" spans="1:13" ht="15.75" hidden="1" customHeight="1">
      <c r="A105" s="157"/>
      <c r="B105" s="158" t="str">
        <f t="shared" si="2"/>
        <v>2114101</v>
      </c>
      <c r="C105" s="177" t="s">
        <v>597</v>
      </c>
      <c r="D105" s="159">
        <v>41</v>
      </c>
      <c r="E105" s="160" t="s">
        <v>655</v>
      </c>
      <c r="F105" s="161" t="s">
        <v>75</v>
      </c>
      <c r="G105" s="162">
        <v>3</v>
      </c>
      <c r="H105" s="162"/>
      <c r="I105" s="178"/>
      <c r="J105" s="178"/>
      <c r="K105" s="175" t="s">
        <v>527</v>
      </c>
      <c r="L105" s="176"/>
      <c r="M105" s="176"/>
    </row>
    <row r="106" spans="1:13" ht="15.75" hidden="1" customHeight="1">
      <c r="A106" s="157"/>
      <c r="B106" s="202" t="str">
        <f t="shared" si="2"/>
        <v>2115000</v>
      </c>
      <c r="C106" s="203" t="s">
        <v>597</v>
      </c>
      <c r="D106" s="205">
        <v>50</v>
      </c>
      <c r="E106" s="204" t="s">
        <v>370</v>
      </c>
      <c r="F106" s="207" t="s">
        <v>76</v>
      </c>
      <c r="G106" s="184">
        <v>2</v>
      </c>
      <c r="H106" s="162" t="s">
        <v>30</v>
      </c>
      <c r="I106" s="217"/>
      <c r="J106" s="217"/>
      <c r="K106" s="175" t="s">
        <v>527</v>
      </c>
      <c r="L106" s="176"/>
      <c r="M106" s="176"/>
    </row>
    <row r="107" spans="1:13" ht="15.75" hidden="1" customHeight="1">
      <c r="A107" s="157"/>
      <c r="B107" s="158" t="str">
        <f t="shared" si="2"/>
        <v>2115101</v>
      </c>
      <c r="C107" s="177" t="s">
        <v>597</v>
      </c>
      <c r="D107" s="159">
        <v>51</v>
      </c>
      <c r="E107" s="160" t="s">
        <v>655</v>
      </c>
      <c r="F107" s="161" t="s">
        <v>76</v>
      </c>
      <c r="G107" s="162">
        <v>3</v>
      </c>
      <c r="H107" s="162"/>
      <c r="I107" s="178"/>
      <c r="J107" s="178"/>
      <c r="K107" s="175" t="s">
        <v>527</v>
      </c>
      <c r="L107" s="176"/>
      <c r="M107" s="176"/>
    </row>
    <row r="108" spans="1:13" ht="15.75" hidden="1" customHeight="1">
      <c r="A108" s="157"/>
      <c r="B108" s="202" t="str">
        <f t="shared" si="2"/>
        <v>2118000</v>
      </c>
      <c r="C108" s="203" t="s">
        <v>597</v>
      </c>
      <c r="D108" s="205">
        <v>80</v>
      </c>
      <c r="E108" s="204" t="s">
        <v>370</v>
      </c>
      <c r="F108" s="207" t="s">
        <v>77</v>
      </c>
      <c r="G108" s="184">
        <v>2</v>
      </c>
      <c r="H108" s="162" t="s">
        <v>30</v>
      </c>
      <c r="I108" s="217"/>
      <c r="J108" s="217"/>
      <c r="K108" s="175" t="s">
        <v>527</v>
      </c>
      <c r="L108" s="176"/>
      <c r="M108" s="176"/>
    </row>
    <row r="109" spans="1:13" ht="15.75" hidden="1" customHeight="1">
      <c r="A109" s="157"/>
      <c r="B109" s="158" t="str">
        <f t="shared" si="2"/>
        <v>2118101</v>
      </c>
      <c r="C109" s="177" t="s">
        <v>597</v>
      </c>
      <c r="D109" s="177" t="s">
        <v>586</v>
      </c>
      <c r="E109" s="160" t="s">
        <v>655</v>
      </c>
      <c r="F109" s="161" t="s">
        <v>77</v>
      </c>
      <c r="G109" s="162">
        <v>3</v>
      </c>
      <c r="H109" s="162"/>
      <c r="I109" s="178"/>
      <c r="J109" s="178"/>
      <c r="K109" s="175" t="s">
        <v>527</v>
      </c>
      <c r="L109" s="176"/>
      <c r="M109" s="176"/>
    </row>
    <row r="110" spans="1:13" hidden="1">
      <c r="A110" s="157"/>
      <c r="B110" s="170" t="str">
        <f t="shared" si="2"/>
        <v>2120000</v>
      </c>
      <c r="C110" s="171" t="s">
        <v>598</v>
      </c>
      <c r="D110" s="190" t="s">
        <v>370</v>
      </c>
      <c r="E110" s="172" t="s">
        <v>370</v>
      </c>
      <c r="F110" s="181" t="s">
        <v>78</v>
      </c>
      <c r="G110" s="178">
        <v>1</v>
      </c>
      <c r="H110" s="197" t="s">
        <v>30</v>
      </c>
      <c r="I110" s="201" t="s">
        <v>847</v>
      </c>
      <c r="J110" s="201"/>
      <c r="K110" s="175" t="s">
        <v>527</v>
      </c>
      <c r="L110" s="176"/>
      <c r="M110" s="176"/>
    </row>
    <row r="111" spans="1:13" ht="15.75" hidden="1" customHeight="1">
      <c r="A111" s="157"/>
      <c r="B111" s="202" t="str">
        <f t="shared" si="2"/>
        <v>2121000</v>
      </c>
      <c r="C111" s="203" t="s">
        <v>598</v>
      </c>
      <c r="D111" s="208" t="s">
        <v>569</v>
      </c>
      <c r="E111" s="204" t="s">
        <v>370</v>
      </c>
      <c r="F111" s="207" t="s">
        <v>79</v>
      </c>
      <c r="G111" s="184">
        <v>2</v>
      </c>
      <c r="H111" s="162" t="s">
        <v>30</v>
      </c>
      <c r="I111" s="216"/>
      <c r="J111" s="216"/>
      <c r="K111" s="175" t="s">
        <v>527</v>
      </c>
      <c r="L111" s="176"/>
      <c r="M111" s="176"/>
    </row>
    <row r="112" spans="1:13" ht="15.75" hidden="1" customHeight="1">
      <c r="A112" s="157"/>
      <c r="B112" s="158" t="str">
        <f t="shared" si="2"/>
        <v>2121101</v>
      </c>
      <c r="C112" s="177" t="s">
        <v>598</v>
      </c>
      <c r="D112" s="159" t="s">
        <v>566</v>
      </c>
      <c r="E112" s="160" t="s">
        <v>655</v>
      </c>
      <c r="F112" s="161" t="s">
        <v>79</v>
      </c>
      <c r="G112" s="162">
        <v>3</v>
      </c>
      <c r="H112" s="162"/>
      <c r="I112" s="162"/>
      <c r="J112" s="162"/>
      <c r="K112" s="175" t="s">
        <v>527</v>
      </c>
      <c r="L112" s="176"/>
      <c r="M112" s="176"/>
    </row>
    <row r="113" spans="1:13" ht="15.75" hidden="1" customHeight="1">
      <c r="A113" s="157"/>
      <c r="B113" s="202" t="str">
        <f t="shared" si="2"/>
        <v>2122000</v>
      </c>
      <c r="C113" s="203" t="s">
        <v>598</v>
      </c>
      <c r="D113" s="205">
        <v>20</v>
      </c>
      <c r="E113" s="204" t="s">
        <v>370</v>
      </c>
      <c r="F113" s="207" t="s">
        <v>80</v>
      </c>
      <c r="G113" s="184">
        <v>2</v>
      </c>
      <c r="H113" s="162" t="s">
        <v>30</v>
      </c>
      <c r="I113" s="216"/>
      <c r="J113" s="216"/>
      <c r="K113" s="175" t="s">
        <v>527</v>
      </c>
      <c r="L113" s="176"/>
      <c r="M113" s="176"/>
    </row>
    <row r="114" spans="1:13" ht="15.75" hidden="1" customHeight="1">
      <c r="A114" s="157"/>
      <c r="B114" s="158" t="str">
        <f t="shared" si="2"/>
        <v>2122101</v>
      </c>
      <c r="C114" s="177" t="s">
        <v>598</v>
      </c>
      <c r="D114" s="159" t="s">
        <v>567</v>
      </c>
      <c r="E114" s="160" t="s">
        <v>655</v>
      </c>
      <c r="F114" s="161" t="s">
        <v>80</v>
      </c>
      <c r="G114" s="162">
        <v>3</v>
      </c>
      <c r="H114" s="162"/>
      <c r="I114" s="162"/>
      <c r="J114" s="162"/>
      <c r="K114" s="175" t="s">
        <v>527</v>
      </c>
      <c r="L114" s="176"/>
      <c r="M114" s="176"/>
    </row>
    <row r="115" spans="1:13" hidden="1">
      <c r="A115" s="157"/>
      <c r="B115" s="170" t="str">
        <f t="shared" si="2"/>
        <v>2130000</v>
      </c>
      <c r="C115" s="171" t="s">
        <v>599</v>
      </c>
      <c r="D115" s="190" t="s">
        <v>370</v>
      </c>
      <c r="E115" s="172" t="s">
        <v>370</v>
      </c>
      <c r="F115" s="181" t="s">
        <v>81</v>
      </c>
      <c r="G115" s="178">
        <v>1</v>
      </c>
      <c r="H115" s="197" t="s">
        <v>30</v>
      </c>
      <c r="I115" s="201" t="s">
        <v>848</v>
      </c>
      <c r="J115" s="201"/>
      <c r="K115" s="175" t="s">
        <v>527</v>
      </c>
      <c r="L115" s="176"/>
      <c r="M115" s="176"/>
    </row>
    <row r="116" spans="1:13">
      <c r="A116" s="157"/>
      <c r="B116" s="202" t="str">
        <f t="shared" si="2"/>
        <v>2131000</v>
      </c>
      <c r="C116" s="203" t="s">
        <v>599</v>
      </c>
      <c r="D116" s="208" t="s">
        <v>569</v>
      </c>
      <c r="E116" s="204" t="s">
        <v>370</v>
      </c>
      <c r="F116" s="207" t="s">
        <v>82</v>
      </c>
      <c r="G116" s="184">
        <v>2</v>
      </c>
      <c r="H116" s="197" t="s">
        <v>30</v>
      </c>
      <c r="I116" s="201"/>
      <c r="J116" s="201"/>
      <c r="K116" s="175" t="s">
        <v>527</v>
      </c>
      <c r="L116" s="176"/>
      <c r="M116" s="176"/>
    </row>
    <row r="117" spans="1:13">
      <c r="A117" s="157"/>
      <c r="B117" s="158" t="str">
        <f t="shared" si="2"/>
        <v>2131101</v>
      </c>
      <c r="C117" s="177" t="s">
        <v>599</v>
      </c>
      <c r="D117" s="159" t="s">
        <v>566</v>
      </c>
      <c r="E117" s="160" t="s">
        <v>655</v>
      </c>
      <c r="F117" s="161" t="s">
        <v>82</v>
      </c>
      <c r="G117" s="162">
        <v>3</v>
      </c>
      <c r="H117" s="197"/>
      <c r="I117" s="201"/>
      <c r="J117" s="201"/>
      <c r="K117" s="175" t="s">
        <v>527</v>
      </c>
      <c r="L117" s="176"/>
      <c r="M117" s="176"/>
    </row>
    <row r="118" spans="1:13" ht="15.75" hidden="1" customHeight="1">
      <c r="A118" s="157"/>
      <c r="B118" s="202" t="str">
        <f t="shared" si="2"/>
        <v>2132000</v>
      </c>
      <c r="C118" s="203" t="s">
        <v>599</v>
      </c>
      <c r="D118" s="208" t="s">
        <v>578</v>
      </c>
      <c r="E118" s="204" t="s">
        <v>370</v>
      </c>
      <c r="F118" s="207" t="s">
        <v>83</v>
      </c>
      <c r="G118" s="184">
        <v>2</v>
      </c>
      <c r="H118" s="162" t="s">
        <v>30</v>
      </c>
      <c r="I118" s="216"/>
      <c r="J118" s="216"/>
      <c r="K118" s="175" t="s">
        <v>527</v>
      </c>
      <c r="L118" s="176"/>
      <c r="M118" s="176"/>
    </row>
    <row r="119" spans="1:13" ht="15.75" hidden="1" customHeight="1">
      <c r="A119" s="157"/>
      <c r="B119" s="158" t="str">
        <f t="shared" si="2"/>
        <v>2132101</v>
      </c>
      <c r="C119" s="177" t="s">
        <v>599</v>
      </c>
      <c r="D119" s="183" t="s">
        <v>567</v>
      </c>
      <c r="E119" s="160" t="s">
        <v>655</v>
      </c>
      <c r="F119" s="161" t="s">
        <v>83</v>
      </c>
      <c r="G119" s="162">
        <v>3</v>
      </c>
      <c r="H119" s="162"/>
      <c r="I119" s="162"/>
      <c r="J119" s="162"/>
      <c r="K119" s="175" t="s">
        <v>527</v>
      </c>
      <c r="L119" s="176"/>
      <c r="M119" s="176"/>
    </row>
    <row r="120" spans="1:13" ht="15.75" hidden="1" customHeight="1">
      <c r="A120" s="157"/>
      <c r="B120" s="202" t="str">
        <f t="shared" si="2"/>
        <v>2133000</v>
      </c>
      <c r="C120" s="203" t="s">
        <v>599</v>
      </c>
      <c r="D120" s="208" t="s">
        <v>579</v>
      </c>
      <c r="E120" s="204" t="s">
        <v>370</v>
      </c>
      <c r="F120" s="207" t="s">
        <v>84</v>
      </c>
      <c r="G120" s="184">
        <v>2</v>
      </c>
      <c r="H120" s="162" t="s">
        <v>30</v>
      </c>
      <c r="I120" s="216"/>
      <c r="J120" s="216"/>
      <c r="K120" s="175" t="s">
        <v>527</v>
      </c>
      <c r="L120" s="176"/>
      <c r="M120" s="176"/>
    </row>
    <row r="121" spans="1:13" ht="15.75" hidden="1" customHeight="1">
      <c r="A121" s="157"/>
      <c r="B121" s="158" t="str">
        <f t="shared" si="2"/>
        <v>2133101</v>
      </c>
      <c r="C121" s="177" t="s">
        <v>599</v>
      </c>
      <c r="D121" s="177" t="s">
        <v>571</v>
      </c>
      <c r="E121" s="160" t="s">
        <v>655</v>
      </c>
      <c r="F121" s="161" t="s">
        <v>84</v>
      </c>
      <c r="G121" s="162">
        <v>3</v>
      </c>
      <c r="H121" s="162"/>
      <c r="I121" s="162"/>
      <c r="J121" s="162"/>
      <c r="K121" s="175" t="s">
        <v>527</v>
      </c>
      <c r="L121" s="176"/>
      <c r="M121" s="176"/>
    </row>
    <row r="122" spans="1:13" ht="15.75" hidden="1" customHeight="1">
      <c r="A122" s="157"/>
      <c r="B122" s="202" t="str">
        <f t="shared" si="2"/>
        <v>2134000</v>
      </c>
      <c r="C122" s="203" t="s">
        <v>599</v>
      </c>
      <c r="D122" s="208" t="s">
        <v>664</v>
      </c>
      <c r="E122" s="204" t="s">
        <v>370</v>
      </c>
      <c r="F122" s="207" t="s">
        <v>85</v>
      </c>
      <c r="G122" s="184">
        <v>2</v>
      </c>
      <c r="H122" s="162" t="s">
        <v>30</v>
      </c>
      <c r="I122" s="216"/>
      <c r="J122" s="216"/>
      <c r="K122" s="175" t="s">
        <v>527</v>
      </c>
      <c r="L122" s="176"/>
      <c r="M122" s="176"/>
    </row>
    <row r="123" spans="1:13" ht="15.75" hidden="1" customHeight="1">
      <c r="A123" s="157"/>
      <c r="B123" s="158" t="str">
        <f t="shared" si="2"/>
        <v>2134101</v>
      </c>
      <c r="C123" s="177" t="s">
        <v>599</v>
      </c>
      <c r="D123" s="177" t="s">
        <v>592</v>
      </c>
      <c r="E123" s="160" t="s">
        <v>655</v>
      </c>
      <c r="F123" s="161" t="s">
        <v>85</v>
      </c>
      <c r="G123" s="162">
        <v>3</v>
      </c>
      <c r="H123" s="162"/>
      <c r="I123" s="162"/>
      <c r="J123" s="162"/>
      <c r="K123" s="175" t="s">
        <v>527</v>
      </c>
      <c r="L123" s="176"/>
      <c r="M123" s="176"/>
    </row>
    <row r="124" spans="1:13" ht="15.75" hidden="1" customHeight="1">
      <c r="A124" s="157"/>
      <c r="B124" s="202" t="str">
        <f t="shared" si="2"/>
        <v>2135000</v>
      </c>
      <c r="C124" s="203" t="s">
        <v>599</v>
      </c>
      <c r="D124" s="208" t="s">
        <v>669</v>
      </c>
      <c r="E124" s="204" t="s">
        <v>370</v>
      </c>
      <c r="F124" s="207" t="s">
        <v>86</v>
      </c>
      <c r="G124" s="184">
        <v>2</v>
      </c>
      <c r="H124" s="162" t="s">
        <v>30</v>
      </c>
      <c r="I124" s="216"/>
      <c r="J124" s="216"/>
      <c r="K124" s="175" t="s">
        <v>527</v>
      </c>
      <c r="L124" s="176"/>
      <c r="M124" s="176"/>
    </row>
    <row r="125" spans="1:13" ht="15.75" hidden="1" customHeight="1">
      <c r="A125" s="157"/>
      <c r="B125" s="158" t="str">
        <f t="shared" si="2"/>
        <v>2135101</v>
      </c>
      <c r="C125" s="177" t="s">
        <v>599</v>
      </c>
      <c r="D125" s="177" t="s">
        <v>585</v>
      </c>
      <c r="E125" s="160" t="s">
        <v>655</v>
      </c>
      <c r="F125" s="161" t="s">
        <v>86</v>
      </c>
      <c r="G125" s="162">
        <v>3</v>
      </c>
      <c r="H125" s="162"/>
      <c r="I125" s="162"/>
      <c r="J125" s="162"/>
      <c r="K125" s="175" t="s">
        <v>527</v>
      </c>
      <c r="L125" s="176"/>
      <c r="M125" s="176"/>
    </row>
    <row r="126" spans="1:13" ht="15.75" hidden="1" customHeight="1">
      <c r="A126" s="157"/>
      <c r="B126" s="202" t="str">
        <f t="shared" si="2"/>
        <v>2136000</v>
      </c>
      <c r="C126" s="203" t="s">
        <v>599</v>
      </c>
      <c r="D126" s="208">
        <v>60</v>
      </c>
      <c r="E126" s="204" t="s">
        <v>370</v>
      </c>
      <c r="F126" s="207" t="s">
        <v>87</v>
      </c>
      <c r="G126" s="184">
        <v>2</v>
      </c>
      <c r="H126" s="162" t="s">
        <v>30</v>
      </c>
      <c r="I126" s="216"/>
      <c r="J126" s="216"/>
      <c r="K126" s="175" t="s">
        <v>527</v>
      </c>
      <c r="L126" s="176"/>
      <c r="M126" s="176"/>
    </row>
    <row r="127" spans="1:13" ht="15.75" hidden="1" customHeight="1">
      <c r="A127" s="157"/>
      <c r="B127" s="158" t="str">
        <f t="shared" si="2"/>
        <v>2136101</v>
      </c>
      <c r="C127" s="177" t="s">
        <v>599</v>
      </c>
      <c r="D127" s="177" t="s">
        <v>600</v>
      </c>
      <c r="E127" s="160" t="s">
        <v>655</v>
      </c>
      <c r="F127" s="161" t="s">
        <v>87</v>
      </c>
      <c r="G127" s="162">
        <v>3</v>
      </c>
      <c r="H127" s="162"/>
      <c r="I127" s="162"/>
      <c r="J127" s="162"/>
      <c r="K127" s="175" t="s">
        <v>527</v>
      </c>
      <c r="L127" s="176"/>
      <c r="M127" s="176"/>
    </row>
    <row r="128" spans="1:13" ht="15.75" hidden="1" customHeight="1">
      <c r="A128" s="157"/>
      <c r="B128" s="202" t="str">
        <f t="shared" si="2"/>
        <v>2138000</v>
      </c>
      <c r="C128" s="203" t="s">
        <v>599</v>
      </c>
      <c r="D128" s="208">
        <v>80</v>
      </c>
      <c r="E128" s="204" t="s">
        <v>370</v>
      </c>
      <c r="F128" s="207" t="s">
        <v>88</v>
      </c>
      <c r="G128" s="184">
        <v>2</v>
      </c>
      <c r="H128" s="162" t="s">
        <v>30</v>
      </c>
      <c r="I128" s="216"/>
      <c r="J128" s="216"/>
      <c r="K128" s="175" t="s">
        <v>527</v>
      </c>
      <c r="L128" s="176"/>
      <c r="M128" s="176"/>
    </row>
    <row r="129" spans="1:13" ht="15.75" hidden="1" customHeight="1">
      <c r="A129" s="157"/>
      <c r="B129" s="158" t="str">
        <f t="shared" si="2"/>
        <v>2138101</v>
      </c>
      <c r="C129" s="177" t="s">
        <v>599</v>
      </c>
      <c r="D129" s="177" t="s">
        <v>586</v>
      </c>
      <c r="E129" s="160" t="s">
        <v>655</v>
      </c>
      <c r="F129" s="161" t="s">
        <v>88</v>
      </c>
      <c r="G129" s="162">
        <v>3</v>
      </c>
      <c r="H129" s="162"/>
      <c r="I129" s="178"/>
      <c r="J129" s="178"/>
      <c r="K129" s="175" t="s">
        <v>527</v>
      </c>
      <c r="L129" s="176"/>
      <c r="M129" s="176"/>
    </row>
    <row r="130" spans="1:13" hidden="1">
      <c r="A130" s="157"/>
      <c r="B130" s="170" t="str">
        <f t="shared" si="2"/>
        <v>2140000</v>
      </c>
      <c r="C130" s="171" t="s">
        <v>602</v>
      </c>
      <c r="D130" s="172" t="s">
        <v>370</v>
      </c>
      <c r="E130" s="172" t="s">
        <v>370</v>
      </c>
      <c r="F130" s="181" t="s">
        <v>89</v>
      </c>
      <c r="G130" s="178">
        <v>1</v>
      </c>
      <c r="H130" s="197" t="s">
        <v>30</v>
      </c>
      <c r="I130" s="201"/>
      <c r="J130" s="201"/>
      <c r="K130" s="175" t="s">
        <v>527</v>
      </c>
      <c r="L130" s="176"/>
      <c r="M130" s="176"/>
    </row>
    <row r="131" spans="1:13" ht="15.75" hidden="1" customHeight="1">
      <c r="A131" s="157"/>
      <c r="B131" s="202" t="str">
        <f t="shared" si="2"/>
        <v>2141000</v>
      </c>
      <c r="C131" s="203" t="s">
        <v>602</v>
      </c>
      <c r="D131" s="204" t="s">
        <v>569</v>
      </c>
      <c r="E131" s="204" t="s">
        <v>370</v>
      </c>
      <c r="F131" s="207" t="s">
        <v>90</v>
      </c>
      <c r="G131" s="184">
        <v>2</v>
      </c>
      <c r="H131" s="162" t="s">
        <v>30</v>
      </c>
      <c r="I131" s="216"/>
      <c r="J131" s="216" t="s">
        <v>849</v>
      </c>
      <c r="K131" s="175" t="s">
        <v>527</v>
      </c>
      <c r="L131" s="176"/>
      <c r="M131" s="176"/>
    </row>
    <row r="132" spans="1:13" ht="15.75" hidden="1" customHeight="1">
      <c r="A132" s="157"/>
      <c r="B132" s="158" t="str">
        <f t="shared" si="2"/>
        <v>2141101</v>
      </c>
      <c r="C132" s="177" t="s">
        <v>602</v>
      </c>
      <c r="D132" s="177" t="s">
        <v>566</v>
      </c>
      <c r="E132" s="160" t="s">
        <v>655</v>
      </c>
      <c r="F132" s="161" t="s">
        <v>72</v>
      </c>
      <c r="G132" s="162">
        <v>3</v>
      </c>
      <c r="H132" s="162"/>
      <c r="I132" s="184"/>
      <c r="J132" s="184"/>
      <c r="K132" s="175" t="s">
        <v>527</v>
      </c>
      <c r="L132" s="176"/>
      <c r="M132" s="176"/>
    </row>
    <row r="133" spans="1:13" ht="15.75" hidden="1" customHeight="1">
      <c r="A133" s="157"/>
      <c r="B133" s="158" t="str">
        <f t="shared" si="2"/>
        <v>2141102</v>
      </c>
      <c r="C133" s="177" t="s">
        <v>602</v>
      </c>
      <c r="D133" s="177" t="s">
        <v>566</v>
      </c>
      <c r="E133" s="160" t="s">
        <v>657</v>
      </c>
      <c r="F133" s="161" t="s">
        <v>73</v>
      </c>
      <c r="G133" s="162">
        <v>3</v>
      </c>
      <c r="H133" s="184"/>
      <c r="I133" s="184"/>
      <c r="J133" s="184"/>
      <c r="K133" s="175" t="s">
        <v>527</v>
      </c>
      <c r="L133" s="176"/>
      <c r="M133" s="176"/>
    </row>
    <row r="134" spans="1:13" ht="15.75" hidden="1" customHeight="1">
      <c r="A134" s="157"/>
      <c r="B134" s="158" t="str">
        <f t="shared" si="2"/>
        <v>2141103</v>
      </c>
      <c r="C134" s="177" t="s">
        <v>602</v>
      </c>
      <c r="D134" s="177" t="s">
        <v>566</v>
      </c>
      <c r="E134" s="160" t="s">
        <v>670</v>
      </c>
      <c r="F134" s="161" t="s">
        <v>74</v>
      </c>
      <c r="G134" s="162">
        <v>3</v>
      </c>
      <c r="H134" s="184"/>
      <c r="I134" s="184"/>
      <c r="J134" s="184"/>
      <c r="K134" s="175" t="s">
        <v>527</v>
      </c>
      <c r="L134" s="176"/>
      <c r="M134" s="176"/>
    </row>
    <row r="135" spans="1:13" ht="15.75" hidden="1" customHeight="1">
      <c r="A135" s="157"/>
      <c r="B135" s="158" t="str">
        <f t="shared" si="2"/>
        <v>2141104</v>
      </c>
      <c r="C135" s="177" t="s">
        <v>602</v>
      </c>
      <c r="D135" s="177" t="s">
        <v>566</v>
      </c>
      <c r="E135" s="160" t="s">
        <v>671</v>
      </c>
      <c r="F135" s="161" t="s">
        <v>75</v>
      </c>
      <c r="G135" s="162">
        <v>3</v>
      </c>
      <c r="H135" s="184"/>
      <c r="I135" s="184"/>
      <c r="J135" s="184"/>
      <c r="K135" s="175" t="s">
        <v>527</v>
      </c>
      <c r="L135" s="176"/>
      <c r="M135" s="176"/>
    </row>
    <row r="136" spans="1:13" ht="15.75" hidden="1" customHeight="1">
      <c r="A136" s="157"/>
      <c r="B136" s="158" t="str">
        <f t="shared" si="2"/>
        <v>2141105</v>
      </c>
      <c r="C136" s="177" t="s">
        <v>602</v>
      </c>
      <c r="D136" s="177" t="s">
        <v>566</v>
      </c>
      <c r="E136" s="160" t="s">
        <v>672</v>
      </c>
      <c r="F136" s="161" t="s">
        <v>91</v>
      </c>
      <c r="G136" s="162">
        <v>3</v>
      </c>
      <c r="H136" s="184"/>
      <c r="I136" s="184"/>
      <c r="J136" s="184"/>
      <c r="K136" s="175" t="s">
        <v>527</v>
      </c>
      <c r="L136" s="176"/>
      <c r="M136" s="176"/>
    </row>
    <row r="137" spans="1:13" ht="15.75" hidden="1" customHeight="1">
      <c r="A137" s="157"/>
      <c r="B137" s="158" t="str">
        <f t="shared" ref="B137:B200" si="3">C137&amp;D137&amp;E137</f>
        <v>2141106</v>
      </c>
      <c r="C137" s="177" t="s">
        <v>602</v>
      </c>
      <c r="D137" s="177" t="s">
        <v>566</v>
      </c>
      <c r="E137" s="160" t="s">
        <v>673</v>
      </c>
      <c r="F137" s="161" t="s">
        <v>77</v>
      </c>
      <c r="G137" s="162">
        <v>3</v>
      </c>
      <c r="H137" s="184"/>
      <c r="I137" s="184"/>
      <c r="J137" s="184"/>
      <c r="K137" s="175" t="s">
        <v>527</v>
      </c>
      <c r="L137" s="176"/>
      <c r="M137" s="176"/>
    </row>
    <row r="138" spans="1:13" ht="15.75" hidden="1" customHeight="1">
      <c r="A138" s="157"/>
      <c r="B138" s="202" t="str">
        <f t="shared" si="3"/>
        <v>2142000</v>
      </c>
      <c r="C138" s="203" t="s">
        <v>602</v>
      </c>
      <c r="D138" s="204" t="s">
        <v>578</v>
      </c>
      <c r="E138" s="204" t="s">
        <v>370</v>
      </c>
      <c r="F138" s="207" t="s">
        <v>92</v>
      </c>
      <c r="G138" s="184">
        <v>2</v>
      </c>
      <c r="H138" s="162" t="s">
        <v>30</v>
      </c>
      <c r="I138" s="216"/>
      <c r="J138" s="216" t="s">
        <v>850</v>
      </c>
      <c r="K138" s="175" t="s">
        <v>527</v>
      </c>
      <c r="L138" s="176"/>
      <c r="M138" s="176"/>
    </row>
    <row r="139" spans="1:13" ht="15.75" hidden="1" customHeight="1">
      <c r="A139" s="157"/>
      <c r="B139" s="158" t="str">
        <f t="shared" si="3"/>
        <v>2142101</v>
      </c>
      <c r="C139" s="177" t="s">
        <v>602</v>
      </c>
      <c r="D139" s="160" t="s">
        <v>567</v>
      </c>
      <c r="E139" s="160" t="s">
        <v>655</v>
      </c>
      <c r="F139" s="161" t="s">
        <v>79</v>
      </c>
      <c r="G139" s="162">
        <v>3</v>
      </c>
      <c r="H139" s="162"/>
      <c r="I139" s="184"/>
      <c r="J139" s="184"/>
      <c r="K139" s="175" t="s">
        <v>527</v>
      </c>
      <c r="L139" s="176"/>
      <c r="M139" s="176"/>
    </row>
    <row r="140" spans="1:13" ht="15.75" hidden="1" customHeight="1">
      <c r="A140" s="157"/>
      <c r="B140" s="158" t="str">
        <f t="shared" si="3"/>
        <v>2142102</v>
      </c>
      <c r="C140" s="177" t="s">
        <v>602</v>
      </c>
      <c r="D140" s="160" t="s">
        <v>567</v>
      </c>
      <c r="E140" s="160" t="s">
        <v>657</v>
      </c>
      <c r="F140" s="161" t="s">
        <v>80</v>
      </c>
      <c r="G140" s="162">
        <v>3</v>
      </c>
      <c r="H140" s="184"/>
      <c r="I140" s="184"/>
      <c r="J140" s="184"/>
      <c r="K140" s="175" t="s">
        <v>527</v>
      </c>
      <c r="L140" s="176"/>
      <c r="M140" s="176"/>
    </row>
    <row r="141" spans="1:13" ht="15.75" hidden="1" customHeight="1">
      <c r="A141" s="157"/>
      <c r="B141" s="202" t="str">
        <f t="shared" si="3"/>
        <v>2143000</v>
      </c>
      <c r="C141" s="203" t="s">
        <v>602</v>
      </c>
      <c r="D141" s="204" t="s">
        <v>579</v>
      </c>
      <c r="E141" s="204" t="s">
        <v>370</v>
      </c>
      <c r="F141" s="207" t="s">
        <v>93</v>
      </c>
      <c r="G141" s="184">
        <v>2</v>
      </c>
      <c r="H141" s="162" t="s">
        <v>30</v>
      </c>
      <c r="I141" s="216"/>
      <c r="J141" s="216" t="s">
        <v>850</v>
      </c>
      <c r="K141" s="175" t="s">
        <v>527</v>
      </c>
      <c r="L141" s="176"/>
      <c r="M141" s="176"/>
    </row>
    <row r="142" spans="1:13" ht="15.75" hidden="1" customHeight="1">
      <c r="A142" s="157"/>
      <c r="B142" s="158" t="str">
        <f t="shared" si="3"/>
        <v>2143101</v>
      </c>
      <c r="C142" s="177" t="s">
        <v>602</v>
      </c>
      <c r="D142" s="160" t="s">
        <v>571</v>
      </c>
      <c r="E142" s="160" t="s">
        <v>655</v>
      </c>
      <c r="F142" s="161" t="s">
        <v>82</v>
      </c>
      <c r="G142" s="162">
        <v>3</v>
      </c>
      <c r="H142" s="162"/>
      <c r="I142" s="178"/>
      <c r="J142" s="178"/>
      <c r="K142" s="175" t="s">
        <v>527</v>
      </c>
      <c r="L142" s="176"/>
      <c r="M142" s="176"/>
    </row>
    <row r="143" spans="1:13" ht="15.75" hidden="1" customHeight="1">
      <c r="A143" s="157"/>
      <c r="B143" s="158" t="str">
        <f t="shared" si="3"/>
        <v>2143102</v>
      </c>
      <c r="C143" s="177" t="s">
        <v>602</v>
      </c>
      <c r="D143" s="160" t="s">
        <v>571</v>
      </c>
      <c r="E143" s="160" t="s">
        <v>657</v>
      </c>
      <c r="F143" s="161" t="s">
        <v>83</v>
      </c>
      <c r="G143" s="162">
        <v>3</v>
      </c>
      <c r="H143" s="178"/>
      <c r="I143" s="178"/>
      <c r="J143" s="178"/>
      <c r="K143" s="175" t="s">
        <v>527</v>
      </c>
      <c r="L143" s="176"/>
      <c r="M143" s="176"/>
    </row>
    <row r="144" spans="1:13" ht="15.75" hidden="1" customHeight="1">
      <c r="A144" s="157"/>
      <c r="B144" s="158" t="str">
        <f t="shared" si="3"/>
        <v>2143103</v>
      </c>
      <c r="C144" s="177" t="s">
        <v>602</v>
      </c>
      <c r="D144" s="160" t="s">
        <v>571</v>
      </c>
      <c r="E144" s="160" t="s">
        <v>670</v>
      </c>
      <c r="F144" s="161" t="s">
        <v>84</v>
      </c>
      <c r="G144" s="162">
        <v>3</v>
      </c>
      <c r="H144" s="178"/>
      <c r="I144" s="178"/>
      <c r="J144" s="178"/>
      <c r="K144" s="175" t="s">
        <v>527</v>
      </c>
      <c r="L144" s="176"/>
      <c r="M144" s="176"/>
    </row>
    <row r="145" spans="1:13" ht="15.75" hidden="1" customHeight="1">
      <c r="A145" s="157"/>
      <c r="B145" s="158" t="str">
        <f t="shared" si="3"/>
        <v>2143104</v>
      </c>
      <c r="C145" s="177" t="s">
        <v>602</v>
      </c>
      <c r="D145" s="160" t="s">
        <v>571</v>
      </c>
      <c r="E145" s="160" t="s">
        <v>671</v>
      </c>
      <c r="F145" s="161" t="s">
        <v>94</v>
      </c>
      <c r="G145" s="162">
        <v>3</v>
      </c>
      <c r="H145" s="178"/>
      <c r="I145" s="178"/>
      <c r="J145" s="178"/>
      <c r="K145" s="175" t="s">
        <v>527</v>
      </c>
      <c r="L145" s="176"/>
      <c r="M145" s="176"/>
    </row>
    <row r="146" spans="1:13" ht="15.75" hidden="1" customHeight="1">
      <c r="A146" s="157"/>
      <c r="B146" s="158" t="str">
        <f t="shared" si="3"/>
        <v>2143105</v>
      </c>
      <c r="C146" s="177" t="s">
        <v>602</v>
      </c>
      <c r="D146" s="160" t="s">
        <v>571</v>
      </c>
      <c r="E146" s="160" t="s">
        <v>672</v>
      </c>
      <c r="F146" s="161" t="s">
        <v>95</v>
      </c>
      <c r="G146" s="162">
        <v>3</v>
      </c>
      <c r="H146" s="178"/>
      <c r="I146" s="178"/>
      <c r="J146" s="178"/>
      <c r="K146" s="175" t="s">
        <v>527</v>
      </c>
      <c r="L146" s="176"/>
      <c r="M146" s="176"/>
    </row>
    <row r="147" spans="1:13" ht="15.75" hidden="1" customHeight="1">
      <c r="A147" s="157"/>
      <c r="B147" s="158" t="str">
        <f t="shared" si="3"/>
        <v>2143106</v>
      </c>
      <c r="C147" s="177" t="s">
        <v>602</v>
      </c>
      <c r="D147" s="160" t="s">
        <v>571</v>
      </c>
      <c r="E147" s="160" t="s">
        <v>673</v>
      </c>
      <c r="F147" s="161" t="s">
        <v>87</v>
      </c>
      <c r="G147" s="162">
        <v>3</v>
      </c>
      <c r="H147" s="178"/>
      <c r="I147" s="178"/>
      <c r="J147" s="178"/>
      <c r="K147" s="175" t="s">
        <v>527</v>
      </c>
      <c r="L147" s="176"/>
      <c r="M147" s="176"/>
    </row>
    <row r="148" spans="1:13" ht="15.75" hidden="1" customHeight="1">
      <c r="A148" s="157"/>
      <c r="B148" s="158" t="str">
        <f t="shared" si="3"/>
        <v>2143107</v>
      </c>
      <c r="C148" s="177" t="s">
        <v>602</v>
      </c>
      <c r="D148" s="160" t="s">
        <v>571</v>
      </c>
      <c r="E148" s="160" t="s">
        <v>975</v>
      </c>
      <c r="F148" s="161" t="s">
        <v>88</v>
      </c>
      <c r="G148" s="162">
        <v>3</v>
      </c>
      <c r="H148" s="178"/>
      <c r="I148" s="178"/>
      <c r="J148" s="178"/>
      <c r="K148" s="175" t="s">
        <v>527</v>
      </c>
      <c r="L148" s="176"/>
      <c r="M148" s="176"/>
    </row>
    <row r="149" spans="1:13" ht="15.75" hidden="1" customHeight="1">
      <c r="A149" s="157"/>
      <c r="B149" s="202" t="str">
        <f t="shared" si="3"/>
        <v>2147000</v>
      </c>
      <c r="C149" s="203" t="s">
        <v>602</v>
      </c>
      <c r="D149" s="204" t="s">
        <v>668</v>
      </c>
      <c r="E149" s="204" t="s">
        <v>370</v>
      </c>
      <c r="F149" s="207" t="s">
        <v>96</v>
      </c>
      <c r="G149" s="184">
        <v>2</v>
      </c>
      <c r="H149" s="162" t="s">
        <v>30</v>
      </c>
      <c r="I149" s="216"/>
      <c r="J149" s="216" t="s">
        <v>850</v>
      </c>
      <c r="K149" s="175" t="s">
        <v>527</v>
      </c>
      <c r="L149" s="176"/>
      <c r="M149" s="176"/>
    </row>
    <row r="150" spans="1:13" ht="15.75" hidden="1" customHeight="1">
      <c r="A150" s="157"/>
      <c r="B150" s="158" t="str">
        <f t="shared" si="3"/>
        <v>2147101</v>
      </c>
      <c r="C150" s="177" t="s">
        <v>602</v>
      </c>
      <c r="D150" s="160" t="s">
        <v>601</v>
      </c>
      <c r="E150" s="160" t="s">
        <v>655</v>
      </c>
      <c r="F150" s="161" t="s">
        <v>72</v>
      </c>
      <c r="G150" s="162">
        <v>3</v>
      </c>
      <c r="H150" s="162"/>
      <c r="I150" s="178"/>
      <c r="J150" s="178"/>
      <c r="K150" s="175" t="s">
        <v>527</v>
      </c>
      <c r="L150" s="176"/>
      <c r="M150" s="176"/>
    </row>
    <row r="151" spans="1:13" ht="15.75" hidden="1" customHeight="1">
      <c r="A151" s="157"/>
      <c r="B151" s="158" t="str">
        <f t="shared" si="3"/>
        <v>2147102</v>
      </c>
      <c r="C151" s="177" t="s">
        <v>602</v>
      </c>
      <c r="D151" s="160" t="s">
        <v>601</v>
      </c>
      <c r="E151" s="160" t="s">
        <v>657</v>
      </c>
      <c r="F151" s="161" t="s">
        <v>97</v>
      </c>
      <c r="G151" s="162">
        <v>3</v>
      </c>
      <c r="H151" s="178"/>
      <c r="I151" s="178"/>
      <c r="J151" s="178"/>
      <c r="K151" s="175" t="s">
        <v>527</v>
      </c>
      <c r="L151" s="176"/>
      <c r="M151" s="176"/>
    </row>
    <row r="152" spans="1:13" hidden="1">
      <c r="A152" s="157"/>
      <c r="B152" s="170" t="str">
        <f t="shared" si="3"/>
        <v>2170000</v>
      </c>
      <c r="C152" s="171" t="s">
        <v>603</v>
      </c>
      <c r="D152" s="172" t="s">
        <v>370</v>
      </c>
      <c r="E152" s="172" t="s">
        <v>370</v>
      </c>
      <c r="F152" s="181" t="s">
        <v>98</v>
      </c>
      <c r="G152" s="178">
        <v>1</v>
      </c>
      <c r="H152" s="197" t="s">
        <v>30</v>
      </c>
      <c r="I152" s="201" t="s">
        <v>851</v>
      </c>
      <c r="J152" s="201"/>
      <c r="K152" s="175" t="s">
        <v>527</v>
      </c>
      <c r="L152" s="176"/>
      <c r="M152" s="176"/>
    </row>
    <row r="153" spans="1:13" ht="15.75" hidden="1" customHeight="1">
      <c r="A153" s="157"/>
      <c r="B153" s="202" t="str">
        <f t="shared" si="3"/>
        <v>2171000</v>
      </c>
      <c r="C153" s="203" t="s">
        <v>603</v>
      </c>
      <c r="D153" s="204" t="s">
        <v>569</v>
      </c>
      <c r="E153" s="204" t="s">
        <v>370</v>
      </c>
      <c r="F153" s="207" t="s">
        <v>98</v>
      </c>
      <c r="G153" s="184">
        <v>2</v>
      </c>
      <c r="H153" s="162" t="s">
        <v>30</v>
      </c>
      <c r="I153" s="216"/>
      <c r="J153" s="216"/>
      <c r="K153" s="175" t="s">
        <v>527</v>
      </c>
      <c r="L153" s="176"/>
      <c r="M153" s="176"/>
    </row>
    <row r="154" spans="1:13" ht="15.75" hidden="1" customHeight="1">
      <c r="A154" s="157"/>
      <c r="B154" s="158" t="str">
        <f t="shared" si="3"/>
        <v>2171101</v>
      </c>
      <c r="C154" s="177" t="s">
        <v>603</v>
      </c>
      <c r="D154" s="177" t="s">
        <v>566</v>
      </c>
      <c r="E154" s="160" t="s">
        <v>655</v>
      </c>
      <c r="F154" s="161" t="s">
        <v>98</v>
      </c>
      <c r="G154" s="162">
        <v>3</v>
      </c>
      <c r="H154" s="162"/>
      <c r="I154" s="162"/>
      <c r="J154" s="162"/>
      <c r="K154" s="175" t="s">
        <v>527</v>
      </c>
      <c r="L154" s="176"/>
      <c r="M154" s="176"/>
    </row>
    <row r="155" spans="1:13" ht="15.75" hidden="1" customHeight="1">
      <c r="A155" s="157"/>
      <c r="B155" s="170" t="str">
        <f t="shared" si="3"/>
        <v>2210000</v>
      </c>
      <c r="C155" s="171" t="s">
        <v>604</v>
      </c>
      <c r="D155" s="172" t="s">
        <v>370</v>
      </c>
      <c r="E155" s="172" t="s">
        <v>370</v>
      </c>
      <c r="F155" s="181" t="s">
        <v>99</v>
      </c>
      <c r="G155" s="178">
        <v>1</v>
      </c>
      <c r="H155" s="197" t="s">
        <v>30</v>
      </c>
      <c r="I155" s="201" t="s">
        <v>819</v>
      </c>
      <c r="J155" s="201"/>
      <c r="K155" s="175" t="s">
        <v>527</v>
      </c>
      <c r="L155" s="176"/>
      <c r="M155" s="176"/>
    </row>
    <row r="156" spans="1:13" ht="15.75" hidden="1" customHeight="1">
      <c r="A156" s="157"/>
      <c r="B156" s="202" t="str">
        <f t="shared" si="3"/>
        <v>2211000</v>
      </c>
      <c r="C156" s="203" t="s">
        <v>604</v>
      </c>
      <c r="D156" s="204" t="s">
        <v>569</v>
      </c>
      <c r="E156" s="204" t="s">
        <v>370</v>
      </c>
      <c r="F156" s="207" t="s">
        <v>99</v>
      </c>
      <c r="G156" s="184">
        <v>2</v>
      </c>
      <c r="H156" s="162" t="s">
        <v>30</v>
      </c>
      <c r="I156" s="216"/>
      <c r="J156" s="216"/>
      <c r="K156" s="175" t="s">
        <v>527</v>
      </c>
      <c r="L156" s="176"/>
      <c r="M156" s="176"/>
    </row>
    <row r="157" spans="1:13" ht="15.75" hidden="1" customHeight="1">
      <c r="A157" s="157"/>
      <c r="B157" s="158" t="str">
        <f t="shared" si="3"/>
        <v>2211101</v>
      </c>
      <c r="C157" s="177" t="s">
        <v>604</v>
      </c>
      <c r="D157" s="177" t="s">
        <v>566</v>
      </c>
      <c r="E157" s="160" t="s">
        <v>655</v>
      </c>
      <c r="F157" s="161" t="s">
        <v>99</v>
      </c>
      <c r="G157" s="162">
        <v>3</v>
      </c>
      <c r="H157" s="162"/>
      <c r="I157" s="162"/>
      <c r="J157" s="162"/>
      <c r="K157" s="175" t="s">
        <v>527</v>
      </c>
      <c r="L157" s="176"/>
      <c r="M157" s="176"/>
    </row>
    <row r="158" spans="1:13" ht="15.75" hidden="1" customHeight="1">
      <c r="A158" s="157"/>
      <c r="B158" s="170" t="str">
        <f t="shared" si="3"/>
        <v>2220000</v>
      </c>
      <c r="C158" s="171" t="s">
        <v>605</v>
      </c>
      <c r="D158" s="172" t="s">
        <v>370</v>
      </c>
      <c r="E158" s="172" t="s">
        <v>370</v>
      </c>
      <c r="F158" s="181" t="s">
        <v>100</v>
      </c>
      <c r="G158" s="178">
        <v>1</v>
      </c>
      <c r="H158" s="197" t="s">
        <v>30</v>
      </c>
      <c r="I158" s="201" t="s">
        <v>820</v>
      </c>
      <c r="J158" s="201"/>
      <c r="K158" s="175" t="s">
        <v>527</v>
      </c>
      <c r="L158" s="176"/>
      <c r="M158" s="176"/>
    </row>
    <row r="159" spans="1:13" ht="15.75" hidden="1" customHeight="1">
      <c r="A159" s="157"/>
      <c r="B159" s="202" t="str">
        <f t="shared" si="3"/>
        <v>2221000</v>
      </c>
      <c r="C159" s="203" t="s">
        <v>605</v>
      </c>
      <c r="D159" s="204" t="s">
        <v>569</v>
      </c>
      <c r="E159" s="204" t="s">
        <v>370</v>
      </c>
      <c r="F159" s="207" t="s">
        <v>100</v>
      </c>
      <c r="G159" s="184">
        <v>2</v>
      </c>
      <c r="H159" s="162" t="s">
        <v>30</v>
      </c>
      <c r="I159" s="216"/>
      <c r="J159" s="216"/>
      <c r="K159" s="175" t="s">
        <v>527</v>
      </c>
      <c r="L159" s="176"/>
      <c r="M159" s="176"/>
    </row>
    <row r="160" spans="1:13" ht="15.75" hidden="1" customHeight="1">
      <c r="A160" s="157"/>
      <c r="B160" s="158" t="str">
        <f t="shared" si="3"/>
        <v>2221101</v>
      </c>
      <c r="C160" s="177" t="s">
        <v>605</v>
      </c>
      <c r="D160" s="177" t="s">
        <v>566</v>
      </c>
      <c r="E160" s="160" t="s">
        <v>655</v>
      </c>
      <c r="F160" s="161" t="s">
        <v>100</v>
      </c>
      <c r="G160" s="162">
        <v>3</v>
      </c>
      <c r="H160" s="162"/>
      <c r="I160" s="162"/>
      <c r="J160" s="162"/>
      <c r="K160" s="175" t="s">
        <v>527</v>
      </c>
      <c r="L160" s="176"/>
      <c r="M160" s="176"/>
    </row>
    <row r="161" spans="1:13" hidden="1">
      <c r="A161" s="157"/>
      <c r="B161" s="170" t="str">
        <f t="shared" si="3"/>
        <v>2280000</v>
      </c>
      <c r="C161" s="171" t="s">
        <v>606</v>
      </c>
      <c r="D161" s="172" t="s">
        <v>370</v>
      </c>
      <c r="E161" s="172" t="s">
        <v>370</v>
      </c>
      <c r="F161" s="181" t="s">
        <v>101</v>
      </c>
      <c r="G161" s="178">
        <v>1</v>
      </c>
      <c r="H161" s="197" t="s">
        <v>30</v>
      </c>
      <c r="I161" s="201" t="s">
        <v>852</v>
      </c>
      <c r="J161" s="201"/>
      <c r="K161" s="175" t="s">
        <v>527</v>
      </c>
      <c r="L161" s="176"/>
      <c r="M161" s="176"/>
    </row>
    <row r="162" spans="1:13" ht="15.75" hidden="1" customHeight="1">
      <c r="A162" s="157"/>
      <c r="B162" s="202" t="str">
        <f t="shared" si="3"/>
        <v>2281000</v>
      </c>
      <c r="C162" s="203" t="s">
        <v>606</v>
      </c>
      <c r="D162" s="204" t="s">
        <v>569</v>
      </c>
      <c r="E162" s="204" t="s">
        <v>370</v>
      </c>
      <c r="F162" s="207" t="s">
        <v>102</v>
      </c>
      <c r="G162" s="184">
        <v>2</v>
      </c>
      <c r="H162" s="162" t="s">
        <v>30</v>
      </c>
      <c r="I162" s="216"/>
      <c r="J162" s="216"/>
      <c r="K162" s="175" t="s">
        <v>527</v>
      </c>
      <c r="L162" s="176"/>
      <c r="M162" s="176"/>
    </row>
    <row r="163" spans="1:13" ht="15.75" hidden="1" customHeight="1">
      <c r="A163" s="157"/>
      <c r="B163" s="158" t="str">
        <f t="shared" si="3"/>
        <v>2281101</v>
      </c>
      <c r="C163" s="177" t="s">
        <v>606</v>
      </c>
      <c r="D163" s="160" t="s">
        <v>566</v>
      </c>
      <c r="E163" s="160" t="s">
        <v>655</v>
      </c>
      <c r="F163" s="161" t="s">
        <v>102</v>
      </c>
      <c r="G163" s="162">
        <v>3</v>
      </c>
      <c r="H163" s="162"/>
      <c r="I163" s="162"/>
      <c r="J163" s="162"/>
      <c r="K163" s="175" t="s">
        <v>527</v>
      </c>
      <c r="L163" s="176"/>
      <c r="M163" s="176"/>
    </row>
    <row r="164" spans="1:13" ht="15.75" hidden="1" customHeight="1">
      <c r="A164" s="157"/>
      <c r="B164" s="202" t="str">
        <f t="shared" si="3"/>
        <v>2288000</v>
      </c>
      <c r="C164" s="203" t="s">
        <v>606</v>
      </c>
      <c r="D164" s="204" t="s">
        <v>660</v>
      </c>
      <c r="E164" s="204" t="s">
        <v>370</v>
      </c>
      <c r="F164" s="207" t="s">
        <v>101</v>
      </c>
      <c r="G164" s="184">
        <v>2</v>
      </c>
      <c r="H164" s="162" t="s">
        <v>30</v>
      </c>
      <c r="I164" s="216"/>
      <c r="J164" s="216"/>
      <c r="K164" s="175" t="s">
        <v>527</v>
      </c>
      <c r="L164" s="176"/>
      <c r="M164" s="176"/>
    </row>
    <row r="165" spans="1:13" ht="15.75" hidden="1" customHeight="1">
      <c r="A165" s="157"/>
      <c r="B165" s="158" t="str">
        <f t="shared" si="3"/>
        <v>2288101</v>
      </c>
      <c r="C165" s="177" t="s">
        <v>606</v>
      </c>
      <c r="D165" s="160" t="s">
        <v>586</v>
      </c>
      <c r="E165" s="160" t="s">
        <v>655</v>
      </c>
      <c r="F165" s="161" t="s">
        <v>101</v>
      </c>
      <c r="G165" s="162">
        <v>3</v>
      </c>
      <c r="H165" s="162"/>
      <c r="I165" s="162"/>
      <c r="J165" s="162"/>
      <c r="K165" s="175" t="s">
        <v>527</v>
      </c>
      <c r="L165" s="176"/>
      <c r="M165" s="176"/>
    </row>
    <row r="166" spans="1:13" ht="15.75" hidden="1" customHeight="1">
      <c r="A166" s="157"/>
      <c r="B166" s="170" t="str">
        <f t="shared" si="3"/>
        <v>2290000</v>
      </c>
      <c r="C166" s="171" t="s">
        <v>607</v>
      </c>
      <c r="D166" s="172" t="s">
        <v>370</v>
      </c>
      <c r="E166" s="172" t="s">
        <v>370</v>
      </c>
      <c r="F166" s="171" t="s">
        <v>103</v>
      </c>
      <c r="G166" s="178">
        <v>1</v>
      </c>
      <c r="H166" s="197" t="s">
        <v>30</v>
      </c>
      <c r="I166" s="201"/>
      <c r="J166" s="201" t="s">
        <v>821</v>
      </c>
      <c r="K166" s="175" t="s">
        <v>527</v>
      </c>
      <c r="L166" s="176"/>
      <c r="M166" s="176"/>
    </row>
    <row r="167" spans="1:13" ht="15.75" hidden="1" customHeight="1">
      <c r="A167" s="157"/>
      <c r="B167" s="202" t="str">
        <f t="shared" si="3"/>
        <v>2291000</v>
      </c>
      <c r="C167" s="203" t="s">
        <v>607</v>
      </c>
      <c r="D167" s="204" t="s">
        <v>569</v>
      </c>
      <c r="E167" s="204" t="s">
        <v>370</v>
      </c>
      <c r="F167" s="203" t="s">
        <v>104</v>
      </c>
      <c r="G167" s="184">
        <v>2</v>
      </c>
      <c r="H167" s="162" t="s">
        <v>30</v>
      </c>
      <c r="I167" s="216"/>
      <c r="J167" s="216"/>
      <c r="K167" s="175" t="s">
        <v>527</v>
      </c>
      <c r="L167" s="176"/>
      <c r="M167" s="176"/>
    </row>
    <row r="168" spans="1:13" ht="15.75" hidden="1" customHeight="1">
      <c r="A168" s="157"/>
      <c r="B168" s="158" t="str">
        <f t="shared" si="3"/>
        <v>2291101</v>
      </c>
      <c r="C168" s="177" t="s">
        <v>607</v>
      </c>
      <c r="D168" s="160" t="s">
        <v>566</v>
      </c>
      <c r="E168" s="160" t="s">
        <v>655</v>
      </c>
      <c r="F168" s="177" t="s">
        <v>104</v>
      </c>
      <c r="G168" s="162">
        <v>3</v>
      </c>
      <c r="H168" s="162"/>
      <c r="I168" s="162"/>
      <c r="J168" s="162"/>
      <c r="K168" s="175" t="s">
        <v>527</v>
      </c>
      <c r="L168" s="176"/>
      <c r="M168" s="176"/>
    </row>
    <row r="169" spans="1:13" ht="15.75" hidden="1" customHeight="1">
      <c r="A169" s="157"/>
      <c r="B169" s="202" t="str">
        <f t="shared" si="3"/>
        <v>2292000</v>
      </c>
      <c r="C169" s="203" t="s">
        <v>607</v>
      </c>
      <c r="D169" s="204" t="s">
        <v>578</v>
      </c>
      <c r="E169" s="204" t="s">
        <v>370</v>
      </c>
      <c r="F169" s="207" t="s">
        <v>105</v>
      </c>
      <c r="G169" s="184">
        <v>2</v>
      </c>
      <c r="H169" s="162" t="s">
        <v>30</v>
      </c>
      <c r="I169" s="216"/>
      <c r="J169" s="216"/>
      <c r="K169" s="175" t="s">
        <v>527</v>
      </c>
      <c r="L169" s="176"/>
      <c r="M169" s="176"/>
    </row>
    <row r="170" spans="1:13" ht="15.75" hidden="1" customHeight="1">
      <c r="A170" s="157"/>
      <c r="B170" s="158" t="str">
        <f t="shared" si="3"/>
        <v>2292101</v>
      </c>
      <c r="C170" s="177" t="s">
        <v>607</v>
      </c>
      <c r="D170" s="160" t="s">
        <v>567</v>
      </c>
      <c r="E170" s="160" t="s">
        <v>655</v>
      </c>
      <c r="F170" s="161" t="s">
        <v>105</v>
      </c>
      <c r="G170" s="162">
        <v>3</v>
      </c>
      <c r="H170" s="162"/>
      <c r="I170" s="162"/>
      <c r="J170" s="162"/>
      <c r="K170" s="175" t="s">
        <v>527</v>
      </c>
      <c r="L170" s="176"/>
      <c r="M170" s="176"/>
    </row>
    <row r="171" spans="1:13" ht="15.75" hidden="1" customHeight="1">
      <c r="A171" s="157"/>
      <c r="B171" s="202" t="str">
        <f t="shared" si="3"/>
        <v>2293000</v>
      </c>
      <c r="C171" s="203" t="s">
        <v>607</v>
      </c>
      <c r="D171" s="204" t="s">
        <v>579</v>
      </c>
      <c r="E171" s="204" t="s">
        <v>370</v>
      </c>
      <c r="F171" s="207" t="s">
        <v>106</v>
      </c>
      <c r="G171" s="184">
        <v>2</v>
      </c>
      <c r="H171" s="162" t="s">
        <v>30</v>
      </c>
      <c r="I171" s="216"/>
      <c r="J171" s="216"/>
      <c r="K171" s="175" t="s">
        <v>527</v>
      </c>
      <c r="L171" s="176"/>
      <c r="M171" s="176"/>
    </row>
    <row r="172" spans="1:13" ht="15.75" hidden="1" customHeight="1">
      <c r="A172" s="157"/>
      <c r="B172" s="158" t="str">
        <f t="shared" si="3"/>
        <v>2293101</v>
      </c>
      <c r="C172" s="177" t="s">
        <v>607</v>
      </c>
      <c r="D172" s="160" t="s">
        <v>571</v>
      </c>
      <c r="E172" s="160" t="s">
        <v>655</v>
      </c>
      <c r="F172" s="161" t="s">
        <v>106</v>
      </c>
      <c r="G172" s="162">
        <v>3</v>
      </c>
      <c r="H172" s="162"/>
      <c r="I172" s="162"/>
      <c r="J172" s="162"/>
      <c r="K172" s="175" t="s">
        <v>527</v>
      </c>
      <c r="L172" s="176"/>
      <c r="M172" s="176"/>
    </row>
    <row r="173" spans="1:13" ht="15.75" hidden="1" customHeight="1">
      <c r="A173" s="157"/>
      <c r="B173" s="202" t="str">
        <f t="shared" si="3"/>
        <v>2294000</v>
      </c>
      <c r="C173" s="203" t="s">
        <v>607</v>
      </c>
      <c r="D173" s="204" t="s">
        <v>664</v>
      </c>
      <c r="E173" s="204" t="s">
        <v>370</v>
      </c>
      <c r="F173" s="207" t="s">
        <v>107</v>
      </c>
      <c r="G173" s="184">
        <v>2</v>
      </c>
      <c r="H173" s="162" t="s">
        <v>30</v>
      </c>
      <c r="I173" s="216"/>
      <c r="J173" s="216"/>
      <c r="K173" s="175" t="s">
        <v>527</v>
      </c>
      <c r="L173" s="176"/>
      <c r="M173" s="176"/>
    </row>
    <row r="174" spans="1:13" ht="15.75" hidden="1" customHeight="1">
      <c r="A174" s="157"/>
      <c r="B174" s="158" t="str">
        <f t="shared" si="3"/>
        <v>2294101</v>
      </c>
      <c r="C174" s="177" t="s">
        <v>607</v>
      </c>
      <c r="D174" s="160" t="s">
        <v>592</v>
      </c>
      <c r="E174" s="160" t="s">
        <v>655</v>
      </c>
      <c r="F174" s="161" t="s">
        <v>107</v>
      </c>
      <c r="G174" s="162">
        <v>3</v>
      </c>
      <c r="H174" s="162"/>
      <c r="I174" s="162"/>
      <c r="J174" s="162"/>
      <c r="K174" s="175" t="s">
        <v>527</v>
      </c>
      <c r="L174" s="176"/>
      <c r="M174" s="176"/>
    </row>
    <row r="175" spans="1:13" hidden="1">
      <c r="A175" s="157"/>
      <c r="B175" s="170" t="str">
        <f t="shared" si="3"/>
        <v>2410000</v>
      </c>
      <c r="C175" s="171" t="s">
        <v>608</v>
      </c>
      <c r="D175" s="172" t="s">
        <v>370</v>
      </c>
      <c r="E175" s="172" t="s">
        <v>370</v>
      </c>
      <c r="F175" s="181" t="s">
        <v>108</v>
      </c>
      <c r="G175" s="178">
        <v>1</v>
      </c>
      <c r="H175" s="197" t="s">
        <v>30</v>
      </c>
      <c r="I175" s="201" t="s">
        <v>822</v>
      </c>
      <c r="J175" s="201"/>
      <c r="K175" s="175" t="s">
        <v>527</v>
      </c>
      <c r="L175" s="176"/>
      <c r="M175" s="176"/>
    </row>
    <row r="176" spans="1:13" ht="15.75" hidden="1" customHeight="1">
      <c r="A176" s="157"/>
      <c r="B176" s="202" t="str">
        <f t="shared" si="3"/>
        <v>2411000</v>
      </c>
      <c r="C176" s="203" t="s">
        <v>608</v>
      </c>
      <c r="D176" s="204" t="s">
        <v>569</v>
      </c>
      <c r="E176" s="204" t="s">
        <v>370</v>
      </c>
      <c r="F176" s="207" t="s">
        <v>109</v>
      </c>
      <c r="G176" s="184">
        <v>2</v>
      </c>
      <c r="H176" s="162" t="s">
        <v>30</v>
      </c>
      <c r="I176" s="216"/>
      <c r="J176" s="216"/>
      <c r="K176" s="175" t="s">
        <v>527</v>
      </c>
      <c r="L176" s="176"/>
      <c r="M176" s="176"/>
    </row>
    <row r="177" spans="1:14" ht="15.75" hidden="1" customHeight="1">
      <c r="A177" s="157"/>
      <c r="B177" s="158" t="str">
        <f t="shared" si="3"/>
        <v>2411101</v>
      </c>
      <c r="C177" s="177" t="s">
        <v>608</v>
      </c>
      <c r="D177" s="160" t="s">
        <v>566</v>
      </c>
      <c r="E177" s="160" t="s">
        <v>655</v>
      </c>
      <c r="F177" s="161" t="s">
        <v>109</v>
      </c>
      <c r="G177" s="162">
        <v>3</v>
      </c>
      <c r="H177" s="162"/>
      <c r="I177" s="162"/>
      <c r="J177" s="162"/>
      <c r="K177" s="175" t="s">
        <v>527</v>
      </c>
      <c r="L177" s="176"/>
      <c r="M177" s="176"/>
    </row>
    <row r="178" spans="1:14" ht="15.75" hidden="1" customHeight="1">
      <c r="A178" s="157"/>
      <c r="B178" s="158" t="str">
        <f t="shared" si="3"/>
        <v>2411102</v>
      </c>
      <c r="C178" s="177" t="s">
        <v>608</v>
      </c>
      <c r="D178" s="160" t="s">
        <v>566</v>
      </c>
      <c r="E178" s="160" t="s">
        <v>657</v>
      </c>
      <c r="F178" s="161" t="s">
        <v>966</v>
      </c>
      <c r="G178" s="162">
        <v>3</v>
      </c>
      <c r="H178" s="162"/>
      <c r="I178" s="162"/>
      <c r="J178" s="162"/>
      <c r="K178" s="175" t="s">
        <v>527</v>
      </c>
      <c r="L178" s="176"/>
      <c r="M178" s="176"/>
      <c r="N178" s="324" t="s">
        <v>967</v>
      </c>
    </row>
    <row r="179" spans="1:14" ht="15.75" hidden="1" customHeight="1">
      <c r="A179" s="157"/>
      <c r="B179" s="202" t="str">
        <f t="shared" si="3"/>
        <v>2412000</v>
      </c>
      <c r="C179" s="203" t="s">
        <v>608</v>
      </c>
      <c r="D179" s="204" t="s">
        <v>578</v>
      </c>
      <c r="E179" s="204" t="s">
        <v>370</v>
      </c>
      <c r="F179" s="207" t="s">
        <v>108</v>
      </c>
      <c r="G179" s="184">
        <v>2</v>
      </c>
      <c r="H179" s="162" t="s">
        <v>30</v>
      </c>
      <c r="I179" s="216"/>
      <c r="J179" s="216"/>
      <c r="K179" s="175" t="s">
        <v>527</v>
      </c>
      <c r="L179" s="176"/>
      <c r="M179" s="176"/>
    </row>
    <row r="180" spans="1:14" ht="15.75" hidden="1" customHeight="1">
      <c r="A180" s="157"/>
      <c r="B180" s="158" t="str">
        <f t="shared" si="3"/>
        <v>2412101</v>
      </c>
      <c r="C180" s="177" t="s">
        <v>608</v>
      </c>
      <c r="D180" s="160" t="s">
        <v>567</v>
      </c>
      <c r="E180" s="160" t="s">
        <v>655</v>
      </c>
      <c r="F180" s="161" t="s">
        <v>108</v>
      </c>
      <c r="G180" s="162">
        <v>3</v>
      </c>
      <c r="H180" s="162"/>
      <c r="I180" s="162"/>
      <c r="J180" s="162"/>
      <c r="K180" s="175" t="s">
        <v>527</v>
      </c>
      <c r="L180" s="176"/>
      <c r="M180" s="176"/>
    </row>
    <row r="181" spans="1:14" ht="15.75" hidden="1" customHeight="1">
      <c r="A181" s="157"/>
      <c r="B181" s="202" t="str">
        <f t="shared" si="3"/>
        <v>2413000</v>
      </c>
      <c r="C181" s="203" t="s">
        <v>608</v>
      </c>
      <c r="D181" s="204" t="s">
        <v>579</v>
      </c>
      <c r="E181" s="204" t="s">
        <v>370</v>
      </c>
      <c r="F181" s="207" t="s">
        <v>110</v>
      </c>
      <c r="G181" s="184">
        <v>2</v>
      </c>
      <c r="H181" s="162" t="s">
        <v>30</v>
      </c>
      <c r="I181" s="216"/>
      <c r="J181" s="216"/>
      <c r="K181" s="175" t="s">
        <v>527</v>
      </c>
      <c r="L181" s="176"/>
      <c r="M181" s="176"/>
    </row>
    <row r="182" spans="1:14" ht="15.75" customHeight="1">
      <c r="A182" s="157"/>
      <c r="B182" s="158" t="str">
        <f t="shared" si="3"/>
        <v>2413101</v>
      </c>
      <c r="C182" s="177" t="s">
        <v>608</v>
      </c>
      <c r="D182" s="160" t="s">
        <v>571</v>
      </c>
      <c r="E182" s="160" t="s">
        <v>655</v>
      </c>
      <c r="F182" s="161" t="s">
        <v>110</v>
      </c>
      <c r="G182" s="162">
        <v>3</v>
      </c>
      <c r="H182" s="162"/>
      <c r="I182" s="162"/>
      <c r="J182" s="162"/>
      <c r="K182" s="175" t="s">
        <v>527</v>
      </c>
      <c r="L182" s="176"/>
      <c r="M182" s="176"/>
    </row>
    <row r="183" spans="1:14" ht="15.75" hidden="1" customHeight="1">
      <c r="A183" s="157"/>
      <c r="B183" s="202" t="str">
        <f t="shared" si="3"/>
        <v>2419000</v>
      </c>
      <c r="C183" s="203" t="s">
        <v>608</v>
      </c>
      <c r="D183" s="204" t="s">
        <v>580</v>
      </c>
      <c r="E183" s="204" t="s">
        <v>370</v>
      </c>
      <c r="F183" s="211" t="s">
        <v>810</v>
      </c>
      <c r="G183" s="184">
        <v>2</v>
      </c>
      <c r="H183" s="162" t="s">
        <v>30</v>
      </c>
      <c r="I183" s="216"/>
      <c r="J183" s="216"/>
      <c r="K183" s="175" t="s">
        <v>527</v>
      </c>
      <c r="L183" s="176"/>
      <c r="M183" s="176"/>
    </row>
    <row r="184" spans="1:14" ht="15.75" hidden="1" customHeight="1">
      <c r="A184" s="157"/>
      <c r="B184" s="158" t="str">
        <f t="shared" si="3"/>
        <v>2419101</v>
      </c>
      <c r="C184" s="177" t="s">
        <v>608</v>
      </c>
      <c r="D184" s="160" t="s">
        <v>614</v>
      </c>
      <c r="E184" s="160" t="s">
        <v>655</v>
      </c>
      <c r="F184" s="161" t="s">
        <v>810</v>
      </c>
      <c r="G184" s="162">
        <v>3</v>
      </c>
      <c r="H184" s="162"/>
      <c r="I184" s="162"/>
      <c r="J184" s="162"/>
      <c r="K184" s="175" t="s">
        <v>527</v>
      </c>
      <c r="L184" s="176"/>
      <c r="M184" s="176"/>
    </row>
    <row r="185" spans="1:14" ht="15.75" hidden="1" customHeight="1">
      <c r="A185" s="157"/>
      <c r="B185" s="158" t="str">
        <f t="shared" si="3"/>
        <v>2419102</v>
      </c>
      <c r="C185" s="177" t="s">
        <v>608</v>
      </c>
      <c r="D185" s="160" t="s">
        <v>614</v>
      </c>
      <c r="E185" s="160" t="s">
        <v>657</v>
      </c>
      <c r="F185" s="161" t="s">
        <v>945</v>
      </c>
      <c r="G185" s="162">
        <v>3</v>
      </c>
      <c r="H185" s="162"/>
      <c r="I185" s="162"/>
      <c r="J185" s="162"/>
      <c r="K185" s="175" t="s">
        <v>527</v>
      </c>
      <c r="L185" s="176"/>
      <c r="M185" s="176"/>
      <c r="N185" s="324" t="s">
        <v>967</v>
      </c>
    </row>
    <row r="186" spans="1:14" hidden="1">
      <c r="A186" s="157"/>
      <c r="B186" s="170" t="str">
        <f t="shared" si="3"/>
        <v>2420000</v>
      </c>
      <c r="C186" s="171" t="s">
        <v>609</v>
      </c>
      <c r="D186" s="172" t="s">
        <v>370</v>
      </c>
      <c r="E186" s="172" t="s">
        <v>370</v>
      </c>
      <c r="F186" s="181" t="s">
        <v>803</v>
      </c>
      <c r="G186" s="178">
        <v>1</v>
      </c>
      <c r="H186" s="197" t="s">
        <v>30</v>
      </c>
      <c r="I186" s="201" t="s">
        <v>853</v>
      </c>
      <c r="J186" s="201"/>
      <c r="K186" s="175" t="s">
        <v>527</v>
      </c>
      <c r="L186" s="176"/>
      <c r="M186" s="176"/>
    </row>
    <row r="187" spans="1:14" ht="15.75" hidden="1" customHeight="1">
      <c r="A187" s="157"/>
      <c r="B187" s="202" t="str">
        <f t="shared" si="3"/>
        <v>2421000</v>
      </c>
      <c r="C187" s="203" t="s">
        <v>609</v>
      </c>
      <c r="D187" s="204" t="s">
        <v>569</v>
      </c>
      <c r="E187" s="204" t="s">
        <v>370</v>
      </c>
      <c r="F187" s="207" t="s">
        <v>111</v>
      </c>
      <c r="G187" s="184">
        <v>2</v>
      </c>
      <c r="H187" s="162" t="s">
        <v>30</v>
      </c>
      <c r="I187" s="216"/>
      <c r="J187" s="216"/>
      <c r="K187" s="175" t="s">
        <v>527</v>
      </c>
      <c r="L187" s="176"/>
      <c r="M187" s="176"/>
    </row>
    <row r="188" spans="1:14" ht="15.75" hidden="1" customHeight="1">
      <c r="A188" s="157"/>
      <c r="B188" s="158" t="str">
        <f t="shared" si="3"/>
        <v>2421101</v>
      </c>
      <c r="C188" s="177" t="s">
        <v>609</v>
      </c>
      <c r="D188" s="160" t="s">
        <v>566</v>
      </c>
      <c r="E188" s="160" t="s">
        <v>655</v>
      </c>
      <c r="F188" s="161" t="s">
        <v>112</v>
      </c>
      <c r="G188" s="162">
        <v>3</v>
      </c>
      <c r="H188" s="162"/>
      <c r="I188" s="162"/>
      <c r="J188" s="162"/>
      <c r="K188" s="175" t="s">
        <v>527</v>
      </c>
      <c r="L188" s="176"/>
      <c r="M188" s="176"/>
    </row>
    <row r="189" spans="1:14" ht="15.75" hidden="1" customHeight="1">
      <c r="A189" s="157"/>
      <c r="B189" s="158" t="str">
        <f t="shared" si="3"/>
        <v>2421102</v>
      </c>
      <c r="C189" s="177" t="s">
        <v>609</v>
      </c>
      <c r="D189" s="160" t="s">
        <v>566</v>
      </c>
      <c r="E189" s="160" t="s">
        <v>657</v>
      </c>
      <c r="F189" s="161" t="s">
        <v>113</v>
      </c>
      <c r="G189" s="162">
        <v>3</v>
      </c>
      <c r="H189" s="162"/>
      <c r="I189" s="162"/>
      <c r="J189" s="162"/>
      <c r="K189" s="175" t="s">
        <v>527</v>
      </c>
      <c r="L189" s="176"/>
      <c r="M189" s="176"/>
    </row>
    <row r="190" spans="1:14" ht="15.75" hidden="1" customHeight="1">
      <c r="A190" s="157"/>
      <c r="B190" s="202" t="str">
        <f t="shared" si="3"/>
        <v>2422000</v>
      </c>
      <c r="C190" s="203" t="s">
        <v>609</v>
      </c>
      <c r="D190" s="204" t="s">
        <v>578</v>
      </c>
      <c r="E190" s="204" t="s">
        <v>370</v>
      </c>
      <c r="F190" s="207" t="s">
        <v>114</v>
      </c>
      <c r="G190" s="184">
        <v>2</v>
      </c>
      <c r="H190" s="162" t="s">
        <v>30</v>
      </c>
      <c r="I190" s="216"/>
      <c r="J190" s="216"/>
      <c r="K190" s="175" t="s">
        <v>527</v>
      </c>
      <c r="L190" s="176"/>
      <c r="M190" s="176"/>
    </row>
    <row r="191" spans="1:14" ht="15.75" hidden="1" customHeight="1">
      <c r="A191" s="157"/>
      <c r="B191" s="158" t="str">
        <f t="shared" si="3"/>
        <v>2422101</v>
      </c>
      <c r="C191" s="177" t="s">
        <v>609</v>
      </c>
      <c r="D191" s="160" t="s">
        <v>567</v>
      </c>
      <c r="E191" s="160" t="s">
        <v>655</v>
      </c>
      <c r="F191" s="161" t="s">
        <v>115</v>
      </c>
      <c r="G191" s="162">
        <v>3</v>
      </c>
      <c r="H191" s="162"/>
      <c r="I191" s="162"/>
      <c r="J191" s="162"/>
      <c r="K191" s="175" t="s">
        <v>527</v>
      </c>
      <c r="L191" s="176"/>
      <c r="M191" s="176"/>
    </row>
    <row r="192" spans="1:14" ht="15.75" hidden="1" customHeight="1">
      <c r="A192" s="157"/>
      <c r="B192" s="158" t="str">
        <f t="shared" si="3"/>
        <v>2422102</v>
      </c>
      <c r="C192" s="177" t="s">
        <v>609</v>
      </c>
      <c r="D192" s="160" t="s">
        <v>567</v>
      </c>
      <c r="E192" s="160" t="s">
        <v>657</v>
      </c>
      <c r="F192" s="161" t="s">
        <v>116</v>
      </c>
      <c r="G192" s="162">
        <v>3</v>
      </c>
      <c r="H192" s="162"/>
      <c r="I192" s="162"/>
      <c r="J192" s="162"/>
      <c r="K192" s="175" t="s">
        <v>527</v>
      </c>
      <c r="L192" s="176"/>
      <c r="M192" s="176"/>
    </row>
    <row r="193" spans="1:14" ht="15.75" hidden="1" customHeight="1">
      <c r="A193" s="157"/>
      <c r="B193" s="202" t="str">
        <f t="shared" si="3"/>
        <v>2423000</v>
      </c>
      <c r="C193" s="203" t="s">
        <v>609</v>
      </c>
      <c r="D193" s="204" t="s">
        <v>579</v>
      </c>
      <c r="E193" s="204" t="s">
        <v>370</v>
      </c>
      <c r="F193" s="207" t="s">
        <v>968</v>
      </c>
      <c r="G193" s="184">
        <v>2</v>
      </c>
      <c r="H193" s="162" t="s">
        <v>30</v>
      </c>
      <c r="I193" s="216"/>
      <c r="J193" s="216"/>
      <c r="K193" s="175" t="s">
        <v>527</v>
      </c>
      <c r="L193" s="176"/>
      <c r="M193" s="176"/>
      <c r="N193" s="324" t="s">
        <v>967</v>
      </c>
    </row>
    <row r="194" spans="1:14" ht="15.75" hidden="1" customHeight="1">
      <c r="A194" s="157"/>
      <c r="B194" s="158" t="str">
        <f t="shared" si="3"/>
        <v>2423101</v>
      </c>
      <c r="C194" s="177" t="s">
        <v>609</v>
      </c>
      <c r="D194" s="160" t="s">
        <v>571</v>
      </c>
      <c r="E194" s="160" t="s">
        <v>655</v>
      </c>
      <c r="F194" s="161" t="s">
        <v>969</v>
      </c>
      <c r="G194" s="162">
        <v>3</v>
      </c>
      <c r="H194" s="162"/>
      <c r="I194" s="162"/>
      <c r="J194" s="162"/>
      <c r="K194" s="175" t="s">
        <v>527</v>
      </c>
      <c r="L194" s="176"/>
      <c r="M194" s="176"/>
      <c r="N194" s="324" t="s">
        <v>967</v>
      </c>
    </row>
    <row r="195" spans="1:14" ht="15.75" hidden="1" customHeight="1">
      <c r="A195" s="157"/>
      <c r="B195" s="158" t="str">
        <f t="shared" si="3"/>
        <v>2423102</v>
      </c>
      <c r="C195" s="177" t="s">
        <v>609</v>
      </c>
      <c r="D195" s="160" t="s">
        <v>571</v>
      </c>
      <c r="E195" s="160" t="s">
        <v>657</v>
      </c>
      <c r="F195" s="161" t="s">
        <v>970</v>
      </c>
      <c r="G195" s="162">
        <v>3</v>
      </c>
      <c r="H195" s="162"/>
      <c r="I195" s="162"/>
      <c r="J195" s="162"/>
      <c r="K195" s="175" t="s">
        <v>527</v>
      </c>
      <c r="L195" s="176"/>
      <c r="M195" s="176"/>
      <c r="N195" s="324" t="s">
        <v>967</v>
      </c>
    </row>
    <row r="196" spans="1:14" ht="15.75" hidden="1" customHeight="1">
      <c r="A196" s="157"/>
      <c r="B196" s="202" t="str">
        <f t="shared" si="3"/>
        <v>2429000</v>
      </c>
      <c r="C196" s="203" t="s">
        <v>609</v>
      </c>
      <c r="D196" s="204" t="s">
        <v>580</v>
      </c>
      <c r="E196" s="204" t="s">
        <v>370</v>
      </c>
      <c r="F196" s="221" t="s">
        <v>811</v>
      </c>
      <c r="G196" s="184">
        <v>2</v>
      </c>
      <c r="H196" s="162" t="s">
        <v>30</v>
      </c>
      <c r="I196" s="216"/>
      <c r="J196" s="216"/>
      <c r="K196" s="175" t="s">
        <v>527</v>
      </c>
      <c r="L196" s="176"/>
      <c r="M196" s="176"/>
    </row>
    <row r="197" spans="1:14" ht="15.75" hidden="1" customHeight="1">
      <c r="A197" s="157"/>
      <c r="B197" s="158" t="str">
        <f t="shared" si="3"/>
        <v>2429101</v>
      </c>
      <c r="C197" s="177" t="s">
        <v>609</v>
      </c>
      <c r="D197" s="160" t="s">
        <v>614</v>
      </c>
      <c r="E197" s="160" t="s">
        <v>655</v>
      </c>
      <c r="F197" s="161" t="s">
        <v>811</v>
      </c>
      <c r="G197" s="162">
        <v>3</v>
      </c>
      <c r="H197" s="162"/>
      <c r="I197" s="162"/>
      <c r="J197" s="162"/>
      <c r="K197" s="175" t="s">
        <v>527</v>
      </c>
      <c r="L197" s="176"/>
      <c r="M197" s="176"/>
    </row>
    <row r="198" spans="1:14" ht="15.75" hidden="1" customHeight="1">
      <c r="A198" s="157"/>
      <c r="B198" s="170" t="str">
        <f t="shared" si="3"/>
        <v>2430000</v>
      </c>
      <c r="C198" s="171" t="s">
        <v>610</v>
      </c>
      <c r="D198" s="172" t="s">
        <v>370</v>
      </c>
      <c r="E198" s="172" t="s">
        <v>370</v>
      </c>
      <c r="F198" s="181" t="s">
        <v>117</v>
      </c>
      <c r="G198" s="178">
        <v>1</v>
      </c>
      <c r="H198" s="197" t="s">
        <v>30</v>
      </c>
      <c r="I198" s="201" t="s">
        <v>823</v>
      </c>
      <c r="J198" s="201"/>
      <c r="K198" s="175" t="s">
        <v>527</v>
      </c>
      <c r="L198" s="176"/>
      <c r="M198" s="176"/>
    </row>
    <row r="199" spans="1:14" ht="15.75" hidden="1" customHeight="1">
      <c r="A199" s="157"/>
      <c r="B199" s="202" t="str">
        <f t="shared" si="3"/>
        <v>2431000</v>
      </c>
      <c r="C199" s="203" t="s">
        <v>610</v>
      </c>
      <c r="D199" s="204" t="s">
        <v>569</v>
      </c>
      <c r="E199" s="204" t="s">
        <v>370</v>
      </c>
      <c r="F199" s="207" t="s">
        <v>117</v>
      </c>
      <c r="G199" s="184">
        <v>2</v>
      </c>
      <c r="H199" s="162" t="s">
        <v>30</v>
      </c>
      <c r="I199" s="216"/>
      <c r="J199" s="216"/>
      <c r="K199" s="175" t="s">
        <v>527</v>
      </c>
      <c r="L199" s="176"/>
      <c r="M199" s="176"/>
    </row>
    <row r="200" spans="1:14" ht="15.75" hidden="1" customHeight="1">
      <c r="A200" s="157"/>
      <c r="B200" s="158" t="str">
        <f t="shared" si="3"/>
        <v>2431101</v>
      </c>
      <c r="C200" s="177" t="s">
        <v>610</v>
      </c>
      <c r="D200" s="160" t="s">
        <v>566</v>
      </c>
      <c r="E200" s="160" t="s">
        <v>655</v>
      </c>
      <c r="F200" s="161" t="s">
        <v>117</v>
      </c>
      <c r="G200" s="162">
        <v>3</v>
      </c>
      <c r="H200" s="162"/>
      <c r="I200" s="162"/>
      <c r="J200" s="162"/>
      <c r="K200" s="175" t="s">
        <v>527</v>
      </c>
      <c r="L200" s="176"/>
      <c r="M200" s="176"/>
    </row>
    <row r="201" spans="1:14" hidden="1">
      <c r="A201" s="157"/>
      <c r="B201" s="170" t="str">
        <f t="shared" ref="B201:B268" si="4">C201&amp;D201&amp;E201</f>
        <v>2440000</v>
      </c>
      <c r="C201" s="171" t="s">
        <v>611</v>
      </c>
      <c r="D201" s="172" t="s">
        <v>370</v>
      </c>
      <c r="E201" s="172" t="s">
        <v>370</v>
      </c>
      <c r="F201" s="191" t="s">
        <v>118</v>
      </c>
      <c r="G201" s="178">
        <v>1</v>
      </c>
      <c r="H201" s="197" t="s">
        <v>30</v>
      </c>
      <c r="I201" s="201"/>
      <c r="J201" s="201"/>
      <c r="K201" s="175" t="s">
        <v>527</v>
      </c>
      <c r="L201" s="176"/>
      <c r="M201" s="176"/>
    </row>
    <row r="202" spans="1:14" ht="15.75" hidden="1" customHeight="1">
      <c r="A202" s="157"/>
      <c r="B202" s="202" t="str">
        <f t="shared" si="4"/>
        <v>2441000</v>
      </c>
      <c r="C202" s="203" t="s">
        <v>611</v>
      </c>
      <c r="D202" s="204" t="s">
        <v>569</v>
      </c>
      <c r="E202" s="204" t="s">
        <v>370</v>
      </c>
      <c r="F202" s="209" t="s">
        <v>118</v>
      </c>
      <c r="G202" s="184">
        <v>2</v>
      </c>
      <c r="H202" s="162" t="s">
        <v>30</v>
      </c>
      <c r="I202" s="216"/>
      <c r="J202" s="216"/>
      <c r="K202" s="175" t="s">
        <v>527</v>
      </c>
      <c r="L202" s="176"/>
      <c r="M202" s="176"/>
    </row>
    <row r="203" spans="1:14" hidden="1">
      <c r="A203" s="157"/>
      <c r="B203" s="158" t="str">
        <f t="shared" si="4"/>
        <v>2441101</v>
      </c>
      <c r="C203" s="177" t="s">
        <v>611</v>
      </c>
      <c r="D203" s="160" t="s">
        <v>566</v>
      </c>
      <c r="E203" s="160" t="s">
        <v>655</v>
      </c>
      <c r="F203" s="185" t="s">
        <v>119</v>
      </c>
      <c r="G203" s="162">
        <v>3</v>
      </c>
      <c r="H203" s="162"/>
      <c r="I203" s="162" t="s">
        <v>846</v>
      </c>
      <c r="J203" s="162"/>
      <c r="K203" s="175" t="s">
        <v>527</v>
      </c>
      <c r="L203" s="176"/>
      <c r="M203" s="176"/>
    </row>
    <row r="204" spans="1:14" hidden="1">
      <c r="A204" s="157"/>
      <c r="B204" s="158" t="str">
        <f t="shared" si="4"/>
        <v>2441102</v>
      </c>
      <c r="C204" s="177" t="s">
        <v>611</v>
      </c>
      <c r="D204" s="160" t="s">
        <v>566</v>
      </c>
      <c r="E204" s="160" t="s">
        <v>657</v>
      </c>
      <c r="F204" s="185" t="s">
        <v>120</v>
      </c>
      <c r="G204" s="162">
        <v>3</v>
      </c>
      <c r="H204" s="162"/>
      <c r="I204" s="162" t="s">
        <v>854</v>
      </c>
      <c r="J204" s="162"/>
      <c r="K204" s="175" t="s">
        <v>527</v>
      </c>
      <c r="L204" s="176"/>
      <c r="M204" s="176"/>
    </row>
    <row r="205" spans="1:14" hidden="1">
      <c r="A205" s="157"/>
      <c r="B205" s="170" t="str">
        <f t="shared" si="4"/>
        <v>3310000</v>
      </c>
      <c r="C205" s="171" t="s">
        <v>612</v>
      </c>
      <c r="D205" s="172" t="s">
        <v>370</v>
      </c>
      <c r="E205" s="172" t="s">
        <v>370</v>
      </c>
      <c r="F205" s="192" t="s">
        <v>121</v>
      </c>
      <c r="G205" s="178">
        <v>1</v>
      </c>
      <c r="H205" s="197" t="s">
        <v>30</v>
      </c>
      <c r="I205" s="201"/>
      <c r="J205" s="201"/>
      <c r="K205" s="175" t="s">
        <v>528</v>
      </c>
      <c r="L205" s="175" t="s">
        <v>532</v>
      </c>
      <c r="M205" s="176"/>
    </row>
    <row r="206" spans="1:14" ht="15.75" hidden="1" customHeight="1">
      <c r="A206" s="157"/>
      <c r="B206" s="202" t="str">
        <f t="shared" si="4"/>
        <v>3311000</v>
      </c>
      <c r="C206" s="203" t="s">
        <v>612</v>
      </c>
      <c r="D206" s="204" t="s">
        <v>569</v>
      </c>
      <c r="E206" s="204" t="s">
        <v>370</v>
      </c>
      <c r="F206" s="210" t="s">
        <v>121</v>
      </c>
      <c r="G206" s="184">
        <v>2</v>
      </c>
      <c r="H206" s="162" t="s">
        <v>30</v>
      </c>
      <c r="I206" s="216"/>
      <c r="J206" s="216" t="s">
        <v>855</v>
      </c>
      <c r="K206" s="175" t="s">
        <v>528</v>
      </c>
      <c r="L206" s="175" t="s">
        <v>532</v>
      </c>
      <c r="M206" s="176"/>
    </row>
    <row r="207" spans="1:14" ht="15.75" hidden="1" customHeight="1">
      <c r="A207" s="157"/>
      <c r="B207" s="158" t="str">
        <f t="shared" si="4"/>
        <v>3311101</v>
      </c>
      <c r="C207" s="177" t="s">
        <v>612</v>
      </c>
      <c r="D207" s="160" t="s">
        <v>566</v>
      </c>
      <c r="E207" s="160" t="s">
        <v>655</v>
      </c>
      <c r="F207" s="185" t="s">
        <v>121</v>
      </c>
      <c r="G207" s="162">
        <v>3</v>
      </c>
      <c r="H207" s="162"/>
      <c r="I207" s="162"/>
      <c r="J207" s="162"/>
      <c r="K207" s="175" t="s">
        <v>528</v>
      </c>
      <c r="L207" s="175" t="s">
        <v>532</v>
      </c>
      <c r="M207" s="176"/>
    </row>
    <row r="208" spans="1:14" ht="15.75" hidden="1" customHeight="1">
      <c r="A208" s="157"/>
      <c r="B208" s="158" t="str">
        <f t="shared" si="4"/>
        <v>3311102</v>
      </c>
      <c r="C208" s="177" t="s">
        <v>612</v>
      </c>
      <c r="D208" s="183">
        <v>11</v>
      </c>
      <c r="E208" s="160" t="s">
        <v>657</v>
      </c>
      <c r="F208" s="185" t="s">
        <v>965</v>
      </c>
      <c r="G208" s="162">
        <v>3</v>
      </c>
      <c r="H208" s="162"/>
      <c r="I208" s="162"/>
      <c r="J208" s="162"/>
      <c r="K208" s="175" t="s">
        <v>528</v>
      </c>
      <c r="L208" s="175" t="s">
        <v>532</v>
      </c>
      <c r="M208" s="176"/>
    </row>
    <row r="209" spans="1:13" ht="15.75" hidden="1" customHeight="1">
      <c r="A209" s="157"/>
      <c r="B209" s="202" t="str">
        <f t="shared" si="4"/>
        <v>3312000</v>
      </c>
      <c r="C209" s="203" t="s">
        <v>612</v>
      </c>
      <c r="D209" s="204" t="s">
        <v>578</v>
      </c>
      <c r="E209" s="204" t="s">
        <v>370</v>
      </c>
      <c r="F209" s="210" t="s">
        <v>122</v>
      </c>
      <c r="G209" s="184">
        <v>2</v>
      </c>
      <c r="H209" s="162" t="s">
        <v>30</v>
      </c>
      <c r="I209" s="216" t="s">
        <v>856</v>
      </c>
      <c r="J209" s="216"/>
      <c r="K209" s="175" t="s">
        <v>528</v>
      </c>
      <c r="L209" s="175" t="s">
        <v>532</v>
      </c>
      <c r="M209" s="176"/>
    </row>
    <row r="210" spans="1:13" ht="15.75" hidden="1" customHeight="1">
      <c r="A210" s="157"/>
      <c r="B210" s="158" t="str">
        <f t="shared" si="4"/>
        <v>3312101</v>
      </c>
      <c r="C210" s="177" t="s">
        <v>612</v>
      </c>
      <c r="D210" s="160" t="s">
        <v>567</v>
      </c>
      <c r="E210" s="160" t="s">
        <v>655</v>
      </c>
      <c r="F210" s="185" t="s">
        <v>122</v>
      </c>
      <c r="G210" s="162">
        <v>3</v>
      </c>
      <c r="H210" s="162"/>
      <c r="I210" s="162"/>
      <c r="J210" s="162"/>
      <c r="K210" s="175" t="s">
        <v>528</v>
      </c>
      <c r="L210" s="175" t="s">
        <v>532</v>
      </c>
      <c r="M210" s="176"/>
    </row>
    <row r="211" spans="1:13" ht="15.75" hidden="1" customHeight="1">
      <c r="A211" s="157"/>
      <c r="B211" s="202" t="str">
        <f t="shared" si="4"/>
        <v>3319000</v>
      </c>
      <c r="C211" s="203" t="s">
        <v>612</v>
      </c>
      <c r="D211" s="204" t="s">
        <v>580</v>
      </c>
      <c r="E211" s="204" t="s">
        <v>370</v>
      </c>
      <c r="F211" s="222" t="s">
        <v>804</v>
      </c>
      <c r="G211" s="184">
        <v>2</v>
      </c>
      <c r="H211" s="162" t="s">
        <v>30</v>
      </c>
      <c r="I211" s="216"/>
      <c r="J211" s="216"/>
      <c r="K211" s="175" t="s">
        <v>528</v>
      </c>
      <c r="L211" s="175" t="s">
        <v>532</v>
      </c>
      <c r="M211" s="176"/>
    </row>
    <row r="212" spans="1:13" ht="15.75" hidden="1" customHeight="1">
      <c r="A212" s="157"/>
      <c r="B212" s="158" t="str">
        <f t="shared" si="4"/>
        <v>3319101</v>
      </c>
      <c r="C212" s="177" t="s">
        <v>612</v>
      </c>
      <c r="D212" s="160" t="s">
        <v>614</v>
      </c>
      <c r="E212" s="160" t="s">
        <v>655</v>
      </c>
      <c r="F212" s="161" t="s">
        <v>123</v>
      </c>
      <c r="G212" s="162">
        <v>3</v>
      </c>
      <c r="H212" s="162"/>
      <c r="I212" s="162"/>
      <c r="J212" s="162"/>
      <c r="K212" s="175" t="s">
        <v>528</v>
      </c>
      <c r="L212" s="175"/>
      <c r="M212" s="176"/>
    </row>
    <row r="213" spans="1:13" ht="15.75" hidden="1" customHeight="1">
      <c r="A213" s="157"/>
      <c r="B213" s="158" t="str">
        <f t="shared" si="4"/>
        <v>3319102</v>
      </c>
      <c r="C213" s="177" t="s">
        <v>612</v>
      </c>
      <c r="D213" s="160" t="s">
        <v>614</v>
      </c>
      <c r="E213" s="160" t="s">
        <v>657</v>
      </c>
      <c r="F213" s="161" t="s">
        <v>520</v>
      </c>
      <c r="G213" s="162">
        <v>3</v>
      </c>
      <c r="H213" s="162"/>
      <c r="I213" s="162"/>
      <c r="J213" s="162"/>
      <c r="K213" s="175" t="s">
        <v>528</v>
      </c>
      <c r="L213" s="175"/>
      <c r="M213" s="176"/>
    </row>
    <row r="214" spans="1:13" hidden="1">
      <c r="A214" s="157"/>
      <c r="B214" s="170" t="str">
        <f t="shared" si="4"/>
        <v>3330000</v>
      </c>
      <c r="C214" s="171" t="s">
        <v>613</v>
      </c>
      <c r="D214" s="172" t="s">
        <v>370</v>
      </c>
      <c r="E214" s="172" t="s">
        <v>370</v>
      </c>
      <c r="F214" s="192" t="s">
        <v>124</v>
      </c>
      <c r="G214" s="178">
        <v>1</v>
      </c>
      <c r="H214" s="197" t="s">
        <v>30</v>
      </c>
      <c r="I214" s="201" t="s">
        <v>824</v>
      </c>
      <c r="J214" s="201" t="s">
        <v>825</v>
      </c>
      <c r="K214" s="175" t="s">
        <v>528</v>
      </c>
      <c r="L214" s="175"/>
      <c r="M214" s="176"/>
    </row>
    <row r="215" spans="1:13" ht="15.75" hidden="1" customHeight="1">
      <c r="A215" s="157"/>
      <c r="B215" s="202" t="str">
        <f t="shared" si="4"/>
        <v>3331000</v>
      </c>
      <c r="C215" s="203" t="s">
        <v>613</v>
      </c>
      <c r="D215" s="204" t="s">
        <v>569</v>
      </c>
      <c r="E215" s="204" t="s">
        <v>370</v>
      </c>
      <c r="F215" s="207" t="s">
        <v>125</v>
      </c>
      <c r="G215" s="184">
        <v>2</v>
      </c>
      <c r="H215" s="162" t="s">
        <v>30</v>
      </c>
      <c r="I215" s="216"/>
      <c r="J215" s="216"/>
      <c r="K215" s="175" t="s">
        <v>528</v>
      </c>
      <c r="L215" s="176"/>
      <c r="M215" s="176"/>
    </row>
    <row r="216" spans="1:13" ht="15.75" hidden="1" customHeight="1">
      <c r="A216" s="157"/>
      <c r="B216" s="158" t="str">
        <f t="shared" si="4"/>
        <v>3331101</v>
      </c>
      <c r="C216" s="177" t="s">
        <v>613</v>
      </c>
      <c r="D216" s="160" t="s">
        <v>566</v>
      </c>
      <c r="E216" s="160" t="s">
        <v>655</v>
      </c>
      <c r="F216" s="161" t="s">
        <v>126</v>
      </c>
      <c r="G216" s="162">
        <v>3</v>
      </c>
      <c r="H216" s="162"/>
      <c r="I216" s="162"/>
      <c r="J216" s="162"/>
      <c r="K216" s="175" t="s">
        <v>528</v>
      </c>
      <c r="L216" s="176"/>
      <c r="M216" s="176"/>
    </row>
    <row r="217" spans="1:13" ht="15.75" hidden="1" customHeight="1">
      <c r="A217" s="157"/>
      <c r="B217" s="158" t="str">
        <f t="shared" si="4"/>
        <v>3331201</v>
      </c>
      <c r="C217" s="177" t="s">
        <v>613</v>
      </c>
      <c r="D217" s="177" t="s">
        <v>570</v>
      </c>
      <c r="E217" s="160" t="s">
        <v>655</v>
      </c>
      <c r="F217" s="161" t="s">
        <v>127</v>
      </c>
      <c r="G217" s="162">
        <v>3</v>
      </c>
      <c r="H217" s="162"/>
      <c r="I217" s="162"/>
      <c r="J217" s="162"/>
      <c r="K217" s="175" t="s">
        <v>528</v>
      </c>
      <c r="L217" s="176"/>
      <c r="M217" s="176"/>
    </row>
    <row r="218" spans="1:13" ht="15.75" hidden="1" customHeight="1">
      <c r="A218" s="157"/>
      <c r="B218" s="202" t="str">
        <f t="shared" si="4"/>
        <v>3332000</v>
      </c>
      <c r="C218" s="203" t="s">
        <v>613</v>
      </c>
      <c r="D218" s="204" t="s">
        <v>578</v>
      </c>
      <c r="E218" s="204" t="s">
        <v>370</v>
      </c>
      <c r="F218" s="207" t="s">
        <v>128</v>
      </c>
      <c r="G218" s="184">
        <v>2</v>
      </c>
      <c r="H218" s="162" t="s">
        <v>30</v>
      </c>
      <c r="I218" s="216"/>
      <c r="J218" s="216"/>
      <c r="K218" s="175" t="s">
        <v>528</v>
      </c>
      <c r="L218" s="176"/>
      <c r="M218" s="176"/>
    </row>
    <row r="219" spans="1:13" ht="15.75" hidden="1" customHeight="1">
      <c r="A219" s="157"/>
      <c r="B219" s="158" t="str">
        <f t="shared" si="4"/>
        <v>3332101</v>
      </c>
      <c r="C219" s="177" t="s">
        <v>613</v>
      </c>
      <c r="D219" s="160" t="s">
        <v>567</v>
      </c>
      <c r="E219" s="160" t="s">
        <v>655</v>
      </c>
      <c r="F219" s="161" t="s">
        <v>128</v>
      </c>
      <c r="G219" s="162">
        <v>3</v>
      </c>
      <c r="H219" s="162"/>
      <c r="I219" s="162"/>
      <c r="J219" s="162"/>
      <c r="K219" s="175" t="s">
        <v>528</v>
      </c>
      <c r="L219" s="176"/>
      <c r="M219" s="176"/>
    </row>
    <row r="220" spans="1:13" ht="15.75" hidden="1" customHeight="1">
      <c r="A220" s="157"/>
      <c r="B220" s="202" t="str">
        <f t="shared" si="4"/>
        <v>3333000</v>
      </c>
      <c r="C220" s="203" t="s">
        <v>613</v>
      </c>
      <c r="D220" s="204" t="s">
        <v>579</v>
      </c>
      <c r="E220" s="204" t="s">
        <v>370</v>
      </c>
      <c r="F220" s="207" t="s">
        <v>129</v>
      </c>
      <c r="G220" s="184">
        <v>2</v>
      </c>
      <c r="H220" s="162" t="s">
        <v>30</v>
      </c>
      <c r="I220" s="216"/>
      <c r="J220" s="216"/>
      <c r="K220" s="175" t="s">
        <v>528</v>
      </c>
      <c r="L220" s="176"/>
      <c r="M220" s="176"/>
    </row>
    <row r="221" spans="1:13" ht="15.75" hidden="1" customHeight="1">
      <c r="A221" s="157"/>
      <c r="B221" s="158" t="str">
        <f t="shared" si="4"/>
        <v>3333101</v>
      </c>
      <c r="C221" s="177" t="s">
        <v>613</v>
      </c>
      <c r="D221" s="177" t="s">
        <v>571</v>
      </c>
      <c r="E221" s="160" t="s">
        <v>655</v>
      </c>
      <c r="F221" s="161" t="s">
        <v>129</v>
      </c>
      <c r="G221" s="162">
        <v>3</v>
      </c>
      <c r="H221" s="162"/>
      <c r="I221" s="162"/>
      <c r="J221" s="162"/>
      <c r="K221" s="175" t="s">
        <v>528</v>
      </c>
      <c r="L221" s="176"/>
      <c r="M221" s="176"/>
    </row>
    <row r="222" spans="1:13" ht="15.75" hidden="1" customHeight="1">
      <c r="A222" s="157"/>
      <c r="B222" s="202" t="str">
        <f t="shared" si="4"/>
        <v>3334000</v>
      </c>
      <c r="C222" s="203" t="s">
        <v>613</v>
      </c>
      <c r="D222" s="204" t="s">
        <v>664</v>
      </c>
      <c r="E222" s="204" t="s">
        <v>370</v>
      </c>
      <c r="F222" s="207" t="s">
        <v>130</v>
      </c>
      <c r="G222" s="184">
        <v>2</v>
      </c>
      <c r="H222" s="162" t="s">
        <v>30</v>
      </c>
      <c r="I222" s="216"/>
      <c r="J222" s="216"/>
      <c r="K222" s="175" t="s">
        <v>528</v>
      </c>
      <c r="L222" s="176"/>
      <c r="M222" s="176"/>
    </row>
    <row r="223" spans="1:13" ht="15.75" hidden="1" customHeight="1">
      <c r="A223" s="157"/>
      <c r="B223" s="158" t="str">
        <f t="shared" si="4"/>
        <v>3334101</v>
      </c>
      <c r="C223" s="177" t="s">
        <v>613</v>
      </c>
      <c r="D223" s="177" t="s">
        <v>592</v>
      </c>
      <c r="E223" s="160" t="s">
        <v>655</v>
      </c>
      <c r="F223" s="161" t="s">
        <v>130</v>
      </c>
      <c r="G223" s="162">
        <v>3</v>
      </c>
      <c r="H223" s="162"/>
      <c r="I223" s="162"/>
      <c r="J223" s="162"/>
      <c r="K223" s="175" t="s">
        <v>528</v>
      </c>
      <c r="L223" s="176"/>
      <c r="M223" s="176"/>
    </row>
    <row r="224" spans="1:13" ht="15.75" hidden="1" customHeight="1">
      <c r="A224" s="157"/>
      <c r="B224" s="202" t="str">
        <f t="shared" si="4"/>
        <v>3335000</v>
      </c>
      <c r="C224" s="203" t="s">
        <v>613</v>
      </c>
      <c r="D224" s="204" t="s">
        <v>669</v>
      </c>
      <c r="E224" s="204" t="s">
        <v>370</v>
      </c>
      <c r="F224" s="207" t="s">
        <v>131</v>
      </c>
      <c r="G224" s="184">
        <v>2</v>
      </c>
      <c r="H224" s="162" t="s">
        <v>30</v>
      </c>
      <c r="I224" s="216"/>
      <c r="J224" s="216"/>
      <c r="K224" s="175" t="s">
        <v>528</v>
      </c>
      <c r="L224" s="176"/>
      <c r="M224" s="176"/>
    </row>
    <row r="225" spans="1:13" ht="15.75" hidden="1" customHeight="1">
      <c r="A225" s="157"/>
      <c r="B225" s="158" t="str">
        <f t="shared" si="4"/>
        <v>3335101</v>
      </c>
      <c r="C225" s="177" t="s">
        <v>613</v>
      </c>
      <c r="D225" s="177" t="s">
        <v>585</v>
      </c>
      <c r="E225" s="160" t="s">
        <v>655</v>
      </c>
      <c r="F225" s="161" t="s">
        <v>131</v>
      </c>
      <c r="G225" s="162">
        <v>3</v>
      </c>
      <c r="H225" s="162"/>
      <c r="I225" s="162"/>
      <c r="J225" s="162"/>
      <c r="K225" s="175" t="s">
        <v>528</v>
      </c>
      <c r="L225" s="176"/>
      <c r="M225" s="176"/>
    </row>
    <row r="226" spans="1:13" ht="15.75" hidden="1" customHeight="1">
      <c r="A226" s="157"/>
      <c r="B226" s="202" t="str">
        <f t="shared" si="4"/>
        <v>3336000</v>
      </c>
      <c r="C226" s="203" t="s">
        <v>613</v>
      </c>
      <c r="D226" s="204" t="s">
        <v>805</v>
      </c>
      <c r="E226" s="204" t="s">
        <v>370</v>
      </c>
      <c r="F226" s="205" t="s">
        <v>132</v>
      </c>
      <c r="G226" s="184">
        <v>2</v>
      </c>
      <c r="H226" s="162" t="s">
        <v>30</v>
      </c>
      <c r="I226" s="216"/>
      <c r="J226" s="216"/>
      <c r="K226" s="175" t="s">
        <v>528</v>
      </c>
      <c r="L226" s="176"/>
      <c r="M226" s="176"/>
    </row>
    <row r="227" spans="1:13" ht="15.75" hidden="1" customHeight="1">
      <c r="A227" s="157"/>
      <c r="B227" s="158" t="str">
        <f t="shared" si="4"/>
        <v>3336101</v>
      </c>
      <c r="C227" s="177" t="s">
        <v>613</v>
      </c>
      <c r="D227" s="160" t="s">
        <v>600</v>
      </c>
      <c r="E227" s="160" t="s">
        <v>655</v>
      </c>
      <c r="F227" s="161" t="s">
        <v>132</v>
      </c>
      <c r="G227" s="162">
        <v>3</v>
      </c>
      <c r="H227" s="162"/>
      <c r="I227" s="162"/>
      <c r="J227" s="162"/>
      <c r="K227" s="175" t="s">
        <v>528</v>
      </c>
      <c r="L227" s="176"/>
      <c r="M227" s="176"/>
    </row>
    <row r="228" spans="1:13" ht="15.75" hidden="1" customHeight="1">
      <c r="A228" s="157"/>
      <c r="B228" s="202" t="str">
        <f t="shared" si="4"/>
        <v>3337000</v>
      </c>
      <c r="C228" s="203" t="s">
        <v>613</v>
      </c>
      <c r="D228" s="204" t="s">
        <v>668</v>
      </c>
      <c r="E228" s="204" t="s">
        <v>370</v>
      </c>
      <c r="F228" s="207" t="s">
        <v>133</v>
      </c>
      <c r="G228" s="184">
        <v>2</v>
      </c>
      <c r="H228" s="162" t="s">
        <v>30</v>
      </c>
      <c r="I228" s="216"/>
      <c r="J228" s="216"/>
      <c r="K228" s="175" t="s">
        <v>528</v>
      </c>
      <c r="L228" s="176"/>
      <c r="M228" s="176"/>
    </row>
    <row r="229" spans="1:13" ht="15.75" hidden="1" customHeight="1">
      <c r="A229" s="157"/>
      <c r="B229" s="158" t="str">
        <f t="shared" si="4"/>
        <v>3337101</v>
      </c>
      <c r="C229" s="177" t="s">
        <v>613</v>
      </c>
      <c r="D229" s="177" t="s">
        <v>601</v>
      </c>
      <c r="E229" s="160" t="s">
        <v>655</v>
      </c>
      <c r="F229" s="161" t="s">
        <v>133</v>
      </c>
      <c r="G229" s="162">
        <v>3</v>
      </c>
      <c r="H229" s="162"/>
      <c r="I229" s="162"/>
      <c r="J229" s="162"/>
      <c r="K229" s="175" t="s">
        <v>528</v>
      </c>
      <c r="L229" s="176"/>
      <c r="M229" s="176"/>
    </row>
    <row r="230" spans="1:13" ht="15.75" hidden="1" customHeight="1">
      <c r="A230" s="157"/>
      <c r="B230" s="202" t="str">
        <f t="shared" si="4"/>
        <v>3338000</v>
      </c>
      <c r="C230" s="203" t="s">
        <v>613</v>
      </c>
      <c r="D230" s="204" t="s">
        <v>660</v>
      </c>
      <c r="E230" s="204" t="s">
        <v>370</v>
      </c>
      <c r="F230" s="207" t="s">
        <v>134</v>
      </c>
      <c r="G230" s="184">
        <v>2</v>
      </c>
      <c r="H230" s="162" t="s">
        <v>30</v>
      </c>
      <c r="I230" s="216"/>
      <c r="J230" s="216"/>
      <c r="K230" s="175" t="s">
        <v>528</v>
      </c>
      <c r="L230" s="176"/>
      <c r="M230" s="176"/>
    </row>
    <row r="231" spans="1:13" ht="15.75" hidden="1" customHeight="1">
      <c r="A231" s="157"/>
      <c r="B231" s="158" t="str">
        <f t="shared" si="4"/>
        <v>3338101</v>
      </c>
      <c r="C231" s="177" t="s">
        <v>613</v>
      </c>
      <c r="D231" s="177" t="s">
        <v>586</v>
      </c>
      <c r="E231" s="160" t="s">
        <v>655</v>
      </c>
      <c r="F231" s="159" t="s">
        <v>135</v>
      </c>
      <c r="G231" s="162">
        <v>3</v>
      </c>
      <c r="H231" s="162"/>
      <c r="I231" s="162"/>
      <c r="J231" s="162"/>
      <c r="K231" s="175" t="s">
        <v>528</v>
      </c>
      <c r="L231" s="176"/>
      <c r="M231" s="176"/>
    </row>
    <row r="232" spans="1:13" ht="15.75" hidden="1" customHeight="1">
      <c r="A232" s="157"/>
      <c r="B232" s="158" t="str">
        <f t="shared" si="4"/>
        <v>3338201</v>
      </c>
      <c r="C232" s="177" t="s">
        <v>613</v>
      </c>
      <c r="D232" s="177" t="s">
        <v>587</v>
      </c>
      <c r="E232" s="160" t="s">
        <v>655</v>
      </c>
      <c r="F232" s="159" t="s">
        <v>136</v>
      </c>
      <c r="G232" s="162">
        <v>3</v>
      </c>
      <c r="H232" s="186"/>
      <c r="I232" s="162"/>
      <c r="J232" s="162"/>
      <c r="K232" s="175" t="s">
        <v>528</v>
      </c>
      <c r="L232" s="176"/>
      <c r="M232" s="176"/>
    </row>
    <row r="233" spans="1:13" ht="15.75" hidden="1" customHeight="1">
      <c r="A233" s="157"/>
      <c r="B233" s="202" t="str">
        <f t="shared" si="4"/>
        <v>3339000</v>
      </c>
      <c r="C233" s="203" t="s">
        <v>613</v>
      </c>
      <c r="D233" s="204" t="s">
        <v>580</v>
      </c>
      <c r="E233" s="204" t="s">
        <v>370</v>
      </c>
      <c r="F233" s="207" t="s">
        <v>138</v>
      </c>
      <c r="G233" s="184">
        <v>2</v>
      </c>
      <c r="H233" s="162" t="s">
        <v>30</v>
      </c>
      <c r="I233" s="216"/>
      <c r="J233" s="216"/>
      <c r="K233" s="175" t="s">
        <v>528</v>
      </c>
      <c r="L233" s="176"/>
      <c r="M233" s="176"/>
    </row>
    <row r="234" spans="1:13" ht="15.75" hidden="1" customHeight="1">
      <c r="A234" s="157"/>
      <c r="B234" s="158" t="str">
        <f t="shared" si="4"/>
        <v>3339101</v>
      </c>
      <c r="C234" s="177" t="s">
        <v>613</v>
      </c>
      <c r="D234" s="177" t="s">
        <v>614</v>
      </c>
      <c r="E234" s="160" t="s">
        <v>655</v>
      </c>
      <c r="F234" s="161" t="s">
        <v>138</v>
      </c>
      <c r="G234" s="162">
        <v>3</v>
      </c>
      <c r="H234" s="162"/>
      <c r="I234" s="162"/>
      <c r="J234" s="162"/>
      <c r="K234" s="175" t="s">
        <v>528</v>
      </c>
      <c r="L234" s="176"/>
      <c r="M234" s="176"/>
    </row>
    <row r="235" spans="1:13" ht="15.75" hidden="1" customHeight="1">
      <c r="A235" s="157"/>
      <c r="B235" s="170" t="str">
        <f t="shared" si="4"/>
        <v>3340000</v>
      </c>
      <c r="C235" s="171" t="s">
        <v>615</v>
      </c>
      <c r="D235" s="172" t="s">
        <v>370</v>
      </c>
      <c r="E235" s="172" t="s">
        <v>370</v>
      </c>
      <c r="F235" s="181" t="s">
        <v>139</v>
      </c>
      <c r="G235" s="178">
        <v>1</v>
      </c>
      <c r="H235" s="197" t="s">
        <v>30</v>
      </c>
      <c r="I235" s="201"/>
      <c r="J235" s="201" t="s">
        <v>826</v>
      </c>
      <c r="K235" s="175" t="s">
        <v>528</v>
      </c>
      <c r="L235" s="176"/>
      <c r="M235" s="176"/>
    </row>
    <row r="236" spans="1:13" ht="15.75" hidden="1" customHeight="1">
      <c r="A236" s="157"/>
      <c r="B236" s="202" t="str">
        <f t="shared" si="4"/>
        <v>3341000</v>
      </c>
      <c r="C236" s="203" t="s">
        <v>615</v>
      </c>
      <c r="D236" s="204" t="s">
        <v>569</v>
      </c>
      <c r="E236" s="204" t="s">
        <v>370</v>
      </c>
      <c r="F236" s="205" t="s">
        <v>140</v>
      </c>
      <c r="G236" s="184">
        <v>2</v>
      </c>
      <c r="H236" s="162" t="s">
        <v>30</v>
      </c>
      <c r="I236" s="216"/>
      <c r="J236" s="216"/>
      <c r="K236" s="175" t="s">
        <v>528</v>
      </c>
      <c r="L236" s="176"/>
      <c r="M236" s="176"/>
    </row>
    <row r="237" spans="1:13" ht="15.75" hidden="1" customHeight="1">
      <c r="A237" s="157"/>
      <c r="B237" s="158" t="str">
        <f t="shared" si="4"/>
        <v>3341101</v>
      </c>
      <c r="C237" s="177" t="s">
        <v>615</v>
      </c>
      <c r="D237" s="160" t="s">
        <v>566</v>
      </c>
      <c r="E237" s="160" t="s">
        <v>655</v>
      </c>
      <c r="F237" s="159" t="s">
        <v>140</v>
      </c>
      <c r="G237" s="162">
        <v>3</v>
      </c>
      <c r="H237" s="162"/>
      <c r="I237" s="162"/>
      <c r="J237" s="162"/>
      <c r="K237" s="175" t="s">
        <v>528</v>
      </c>
      <c r="L237" s="176"/>
      <c r="M237" s="176"/>
    </row>
    <row r="238" spans="1:13" ht="15.75" hidden="1" customHeight="1">
      <c r="A238" s="157"/>
      <c r="B238" s="202" t="str">
        <f t="shared" si="4"/>
        <v>3348000</v>
      </c>
      <c r="C238" s="203" t="s">
        <v>615</v>
      </c>
      <c r="D238" s="204" t="s">
        <v>660</v>
      </c>
      <c r="E238" s="204" t="s">
        <v>370</v>
      </c>
      <c r="F238" s="205" t="s">
        <v>806</v>
      </c>
      <c r="G238" s="184">
        <v>2</v>
      </c>
      <c r="H238" s="162" t="s">
        <v>30</v>
      </c>
      <c r="I238" s="216"/>
      <c r="J238" s="216"/>
      <c r="K238" s="175" t="s">
        <v>528</v>
      </c>
      <c r="L238" s="176"/>
      <c r="M238" s="176"/>
    </row>
    <row r="239" spans="1:13" ht="15.75" hidden="1" customHeight="1">
      <c r="A239" s="157"/>
      <c r="B239" s="158" t="str">
        <f t="shared" si="4"/>
        <v>3348101</v>
      </c>
      <c r="C239" s="177" t="s">
        <v>615</v>
      </c>
      <c r="D239" s="160" t="s">
        <v>586</v>
      </c>
      <c r="E239" s="160" t="s">
        <v>655</v>
      </c>
      <c r="F239" s="159" t="s">
        <v>806</v>
      </c>
      <c r="G239" s="162">
        <v>3</v>
      </c>
      <c r="H239" s="162"/>
      <c r="I239" s="162"/>
      <c r="J239" s="162"/>
      <c r="K239" s="175" t="s">
        <v>528</v>
      </c>
      <c r="L239" s="176"/>
      <c r="M239" s="176"/>
    </row>
    <row r="240" spans="1:13" ht="15.75" hidden="1" customHeight="1">
      <c r="A240" s="157"/>
      <c r="B240" s="170" t="str">
        <f t="shared" si="4"/>
        <v>3350000</v>
      </c>
      <c r="C240" s="171" t="s">
        <v>616</v>
      </c>
      <c r="D240" s="172" t="s">
        <v>370</v>
      </c>
      <c r="E240" s="172" t="s">
        <v>370</v>
      </c>
      <c r="F240" s="171" t="s">
        <v>141</v>
      </c>
      <c r="G240" s="178">
        <v>1</v>
      </c>
      <c r="H240" s="197" t="s">
        <v>30</v>
      </c>
      <c r="I240" s="201"/>
      <c r="J240" s="201" t="s">
        <v>827</v>
      </c>
      <c r="K240" s="175" t="s">
        <v>528</v>
      </c>
      <c r="L240" s="175"/>
      <c r="M240" s="176"/>
    </row>
    <row r="241" spans="1:14" ht="15.75" hidden="1" customHeight="1">
      <c r="A241" s="157"/>
      <c r="B241" s="202" t="str">
        <f t="shared" si="4"/>
        <v>3351000</v>
      </c>
      <c r="C241" s="203" t="s">
        <v>616</v>
      </c>
      <c r="D241" s="204" t="s">
        <v>569</v>
      </c>
      <c r="E241" s="204" t="s">
        <v>370</v>
      </c>
      <c r="F241" s="203" t="s">
        <v>141</v>
      </c>
      <c r="G241" s="184">
        <v>2</v>
      </c>
      <c r="H241" s="162" t="s">
        <v>30</v>
      </c>
      <c r="I241" s="216"/>
      <c r="J241" s="216"/>
      <c r="K241" s="175" t="s">
        <v>528</v>
      </c>
      <c r="L241" s="176"/>
      <c r="M241" s="176"/>
    </row>
    <row r="242" spans="1:14" ht="15.75" hidden="1" customHeight="1">
      <c r="A242" s="157"/>
      <c r="B242" s="158" t="str">
        <f t="shared" si="4"/>
        <v>3351101</v>
      </c>
      <c r="C242" s="177" t="s">
        <v>616</v>
      </c>
      <c r="D242" s="160" t="s">
        <v>566</v>
      </c>
      <c r="E242" s="160" t="s">
        <v>655</v>
      </c>
      <c r="F242" s="159" t="s">
        <v>976</v>
      </c>
      <c r="G242" s="162">
        <v>3</v>
      </c>
      <c r="H242" s="162"/>
      <c r="I242" s="162"/>
      <c r="J242" s="162"/>
      <c r="K242" s="175" t="s">
        <v>528</v>
      </c>
      <c r="L242" s="175" t="s">
        <v>532</v>
      </c>
      <c r="M242" s="176"/>
      <c r="N242" s="324" t="s">
        <v>977</v>
      </c>
    </row>
    <row r="243" spans="1:14" ht="15.75" hidden="1" customHeight="1">
      <c r="A243" s="157"/>
      <c r="B243" s="158" t="str">
        <f t="shared" si="4"/>
        <v>3351102</v>
      </c>
      <c r="C243" s="177" t="s">
        <v>616</v>
      </c>
      <c r="D243" s="160" t="s">
        <v>566</v>
      </c>
      <c r="E243" s="160" t="s">
        <v>657</v>
      </c>
      <c r="F243" s="159" t="s">
        <v>142</v>
      </c>
      <c r="G243" s="162">
        <v>3</v>
      </c>
      <c r="H243" s="162"/>
      <c r="I243" s="162"/>
      <c r="J243" s="162"/>
      <c r="K243" s="175" t="s">
        <v>528</v>
      </c>
      <c r="L243" s="175" t="s">
        <v>532</v>
      </c>
      <c r="M243" s="176"/>
      <c r="N243" s="324" t="s">
        <v>977</v>
      </c>
    </row>
    <row r="244" spans="1:14" ht="15.75" hidden="1" customHeight="1">
      <c r="A244" s="157"/>
      <c r="B244" s="158" t="str">
        <f t="shared" si="4"/>
        <v>3351103</v>
      </c>
      <c r="C244" s="177" t="s">
        <v>616</v>
      </c>
      <c r="D244" s="160" t="s">
        <v>566</v>
      </c>
      <c r="E244" s="160" t="s">
        <v>670</v>
      </c>
      <c r="F244" s="161" t="s">
        <v>143</v>
      </c>
      <c r="G244" s="162">
        <v>3</v>
      </c>
      <c r="H244" s="162"/>
      <c r="I244" s="162"/>
      <c r="J244" s="162"/>
      <c r="K244" s="175" t="s">
        <v>528</v>
      </c>
      <c r="L244" s="175" t="s">
        <v>532</v>
      </c>
      <c r="M244" s="176"/>
      <c r="N244" s="324" t="s">
        <v>977</v>
      </c>
    </row>
    <row r="245" spans="1:14" ht="15.75" hidden="1" customHeight="1">
      <c r="A245" s="157"/>
      <c r="B245" s="158" t="str">
        <f t="shared" si="4"/>
        <v>3351104</v>
      </c>
      <c r="C245" s="177" t="s">
        <v>616</v>
      </c>
      <c r="D245" s="160" t="s">
        <v>566</v>
      </c>
      <c r="E245" s="160" t="s">
        <v>671</v>
      </c>
      <c r="F245" s="161" t="s">
        <v>144</v>
      </c>
      <c r="G245" s="162">
        <v>3</v>
      </c>
      <c r="H245" s="162"/>
      <c r="I245" s="162"/>
      <c r="J245" s="162"/>
      <c r="K245" s="175" t="s">
        <v>528</v>
      </c>
      <c r="L245" s="175" t="s">
        <v>532</v>
      </c>
      <c r="M245" s="176"/>
      <c r="N245" s="324" t="s">
        <v>977</v>
      </c>
    </row>
    <row r="246" spans="1:14" ht="15.75" hidden="1" customHeight="1">
      <c r="A246" s="157"/>
      <c r="B246" s="158" t="str">
        <f t="shared" ref="B246" si="5">C246&amp;D246&amp;E246</f>
        <v>3351105</v>
      </c>
      <c r="C246" s="177" t="s">
        <v>616</v>
      </c>
      <c r="D246" s="160" t="s">
        <v>566</v>
      </c>
      <c r="E246" s="160" t="s">
        <v>672</v>
      </c>
      <c r="F246" s="159" t="s">
        <v>521</v>
      </c>
      <c r="G246" s="162">
        <v>3</v>
      </c>
      <c r="H246" s="162"/>
      <c r="I246" s="162"/>
      <c r="J246" s="162"/>
      <c r="K246" s="175" t="s">
        <v>528</v>
      </c>
      <c r="L246" s="175" t="s">
        <v>532</v>
      </c>
      <c r="M246" s="176"/>
      <c r="N246" s="324" t="s">
        <v>977</v>
      </c>
    </row>
    <row r="247" spans="1:14" ht="15.75" hidden="1" customHeight="1">
      <c r="A247" s="157"/>
      <c r="B247" s="202" t="str">
        <f t="shared" si="4"/>
        <v>3358000</v>
      </c>
      <c r="C247" s="203" t="s">
        <v>616</v>
      </c>
      <c r="D247" s="204" t="s">
        <v>660</v>
      </c>
      <c r="E247" s="204" t="s">
        <v>370</v>
      </c>
      <c r="F247" s="203" t="s">
        <v>807</v>
      </c>
      <c r="G247" s="184">
        <v>2</v>
      </c>
      <c r="H247" s="162" t="s">
        <v>30</v>
      </c>
      <c r="I247" s="216"/>
      <c r="J247" s="216"/>
      <c r="K247" s="175" t="s">
        <v>528</v>
      </c>
      <c r="L247" s="176"/>
      <c r="M247" s="176"/>
    </row>
    <row r="248" spans="1:14" ht="15.75" hidden="1" customHeight="1">
      <c r="A248" s="157"/>
      <c r="B248" s="158" t="str">
        <f t="shared" si="4"/>
        <v>3358101</v>
      </c>
      <c r="C248" s="177" t="s">
        <v>616</v>
      </c>
      <c r="D248" s="160" t="s">
        <v>586</v>
      </c>
      <c r="E248" s="160" t="s">
        <v>655</v>
      </c>
      <c r="F248" s="177" t="s">
        <v>807</v>
      </c>
      <c r="G248" s="162">
        <v>3</v>
      </c>
      <c r="H248" s="162"/>
      <c r="I248" s="162"/>
      <c r="J248" s="162"/>
      <c r="K248" s="175" t="s">
        <v>528</v>
      </c>
      <c r="L248" s="176"/>
      <c r="M248" s="176"/>
    </row>
    <row r="249" spans="1:14" ht="15.75" hidden="1" customHeight="1">
      <c r="A249" s="157"/>
      <c r="B249" s="202" t="str">
        <f t="shared" si="4"/>
        <v>3359000</v>
      </c>
      <c r="C249" s="203" t="s">
        <v>616</v>
      </c>
      <c r="D249" s="204" t="s">
        <v>580</v>
      </c>
      <c r="E249" s="204" t="s">
        <v>370</v>
      </c>
      <c r="F249" s="211" t="s">
        <v>523</v>
      </c>
      <c r="G249" s="184">
        <v>2</v>
      </c>
      <c r="H249" s="162" t="s">
        <v>30</v>
      </c>
      <c r="I249" s="216"/>
      <c r="J249" s="216"/>
      <c r="K249" s="175" t="s">
        <v>528</v>
      </c>
      <c r="L249" s="176"/>
      <c r="M249" s="176"/>
    </row>
    <row r="250" spans="1:14" ht="15.75" hidden="1" customHeight="1">
      <c r="A250" s="157"/>
      <c r="B250" s="158" t="str">
        <f t="shared" si="4"/>
        <v>3359101</v>
      </c>
      <c r="C250" s="177" t="s">
        <v>616</v>
      </c>
      <c r="D250" s="160" t="s">
        <v>614</v>
      </c>
      <c r="E250" s="160" t="s">
        <v>655</v>
      </c>
      <c r="F250" s="187" t="s">
        <v>523</v>
      </c>
      <c r="G250" s="162">
        <v>3</v>
      </c>
      <c r="H250" s="162"/>
      <c r="I250" s="162"/>
      <c r="J250" s="162"/>
      <c r="K250" s="175" t="s">
        <v>528</v>
      </c>
      <c r="L250" s="176"/>
      <c r="M250" s="176"/>
    </row>
    <row r="251" spans="1:14" ht="15.75" hidden="1" customHeight="1">
      <c r="A251" s="157"/>
      <c r="B251" s="170" t="str">
        <f t="shared" si="4"/>
        <v>3360000</v>
      </c>
      <c r="C251" s="171" t="s">
        <v>617</v>
      </c>
      <c r="D251" s="172" t="s">
        <v>370</v>
      </c>
      <c r="E251" s="172" t="s">
        <v>370</v>
      </c>
      <c r="F251" s="181" t="s">
        <v>145</v>
      </c>
      <c r="G251" s="178">
        <v>1</v>
      </c>
      <c r="H251" s="197" t="s">
        <v>30</v>
      </c>
      <c r="I251" s="201"/>
      <c r="J251" s="201" t="s">
        <v>828</v>
      </c>
      <c r="K251" s="175" t="s">
        <v>528</v>
      </c>
      <c r="L251" s="176"/>
      <c r="M251" s="176"/>
    </row>
    <row r="252" spans="1:14" ht="15.75" hidden="1" customHeight="1">
      <c r="A252" s="157"/>
      <c r="B252" s="202" t="str">
        <f t="shared" si="4"/>
        <v>3361000</v>
      </c>
      <c r="C252" s="203" t="s">
        <v>617</v>
      </c>
      <c r="D252" s="204" t="s">
        <v>569</v>
      </c>
      <c r="E252" s="204" t="s">
        <v>370</v>
      </c>
      <c r="F252" s="207" t="s">
        <v>146</v>
      </c>
      <c r="G252" s="184">
        <v>2</v>
      </c>
      <c r="H252" s="162" t="s">
        <v>30</v>
      </c>
      <c r="I252" s="216"/>
      <c r="J252" s="216"/>
      <c r="K252" s="175" t="s">
        <v>528</v>
      </c>
      <c r="L252" s="176"/>
      <c r="M252" s="176"/>
    </row>
    <row r="253" spans="1:14" ht="15.75" hidden="1" customHeight="1">
      <c r="A253" s="157"/>
      <c r="B253" s="158" t="str">
        <f t="shared" si="4"/>
        <v>3361101</v>
      </c>
      <c r="C253" s="177" t="s">
        <v>617</v>
      </c>
      <c r="D253" s="160" t="s">
        <v>566</v>
      </c>
      <c r="E253" s="160" t="s">
        <v>655</v>
      </c>
      <c r="F253" s="161" t="s">
        <v>146</v>
      </c>
      <c r="G253" s="162">
        <v>3</v>
      </c>
      <c r="H253" s="162"/>
      <c r="I253" s="162"/>
      <c r="J253" s="162"/>
      <c r="K253" s="175" t="s">
        <v>528</v>
      </c>
      <c r="L253" s="175" t="s">
        <v>532</v>
      </c>
      <c r="M253" s="176"/>
    </row>
    <row r="254" spans="1:14" ht="15.75" hidden="1" customHeight="1">
      <c r="A254" s="157"/>
      <c r="B254" s="202" t="str">
        <f t="shared" si="4"/>
        <v>3362000</v>
      </c>
      <c r="C254" s="203" t="s">
        <v>617</v>
      </c>
      <c r="D254" s="204" t="s">
        <v>578</v>
      </c>
      <c r="E254" s="204" t="s">
        <v>370</v>
      </c>
      <c r="F254" s="207" t="s">
        <v>147</v>
      </c>
      <c r="G254" s="184">
        <v>2</v>
      </c>
      <c r="H254" s="162" t="s">
        <v>30</v>
      </c>
      <c r="I254" s="216"/>
      <c r="J254" s="216"/>
      <c r="K254" s="175" t="s">
        <v>528</v>
      </c>
      <c r="L254" s="176"/>
      <c r="M254" s="176"/>
    </row>
    <row r="255" spans="1:14" ht="15.75" hidden="1" customHeight="1">
      <c r="A255" s="157"/>
      <c r="B255" s="158" t="str">
        <f t="shared" si="4"/>
        <v>3362101</v>
      </c>
      <c r="C255" s="177" t="s">
        <v>617</v>
      </c>
      <c r="D255" s="160" t="s">
        <v>567</v>
      </c>
      <c r="E255" s="160" t="s">
        <v>655</v>
      </c>
      <c r="F255" s="161" t="s">
        <v>147</v>
      </c>
      <c r="G255" s="162">
        <v>3</v>
      </c>
      <c r="H255" s="162"/>
      <c r="I255" s="162"/>
      <c r="J255" s="162"/>
      <c r="K255" s="175" t="s">
        <v>528</v>
      </c>
      <c r="L255" s="176"/>
      <c r="M255" s="176"/>
    </row>
    <row r="256" spans="1:14" ht="15.75" hidden="1" customHeight="1">
      <c r="A256" s="157"/>
      <c r="B256" s="202" t="str">
        <f t="shared" si="4"/>
        <v>3363000</v>
      </c>
      <c r="C256" s="203" t="s">
        <v>617</v>
      </c>
      <c r="D256" s="204" t="s">
        <v>579</v>
      </c>
      <c r="E256" s="204" t="s">
        <v>370</v>
      </c>
      <c r="F256" s="207" t="s">
        <v>148</v>
      </c>
      <c r="G256" s="184">
        <v>2</v>
      </c>
      <c r="H256" s="162" t="s">
        <v>30</v>
      </c>
      <c r="I256" s="216"/>
      <c r="J256" s="216"/>
      <c r="K256" s="175" t="s">
        <v>528</v>
      </c>
      <c r="L256" s="176"/>
      <c r="M256" s="176"/>
    </row>
    <row r="257" spans="1:13" ht="15.75" hidden="1" customHeight="1">
      <c r="A257" s="157"/>
      <c r="B257" s="158" t="str">
        <f t="shared" si="4"/>
        <v>3363101</v>
      </c>
      <c r="C257" s="177" t="s">
        <v>617</v>
      </c>
      <c r="D257" s="177" t="s">
        <v>571</v>
      </c>
      <c r="E257" s="160" t="s">
        <v>655</v>
      </c>
      <c r="F257" s="161" t="s">
        <v>148</v>
      </c>
      <c r="G257" s="162">
        <v>3</v>
      </c>
      <c r="H257" s="162"/>
      <c r="I257" s="162"/>
      <c r="J257" s="162"/>
      <c r="K257" s="175" t="s">
        <v>528</v>
      </c>
      <c r="L257" s="176"/>
      <c r="M257" s="176"/>
    </row>
    <row r="258" spans="1:13" ht="15.75" hidden="1" customHeight="1">
      <c r="A258" s="157"/>
      <c r="B258" s="202" t="str">
        <f t="shared" si="4"/>
        <v>3368000</v>
      </c>
      <c r="C258" s="203" t="s">
        <v>617</v>
      </c>
      <c r="D258" s="204" t="s">
        <v>660</v>
      </c>
      <c r="E258" s="204" t="s">
        <v>370</v>
      </c>
      <c r="F258" s="207" t="s">
        <v>149</v>
      </c>
      <c r="G258" s="184">
        <v>2</v>
      </c>
      <c r="H258" s="162" t="s">
        <v>30</v>
      </c>
      <c r="I258" s="216"/>
      <c r="J258" s="216"/>
      <c r="K258" s="175" t="s">
        <v>528</v>
      </c>
      <c r="L258" s="176"/>
      <c r="M258" s="176"/>
    </row>
    <row r="259" spans="1:13" ht="15.75" hidden="1" customHeight="1">
      <c r="A259" s="157"/>
      <c r="B259" s="158" t="str">
        <f t="shared" si="4"/>
        <v>3368101</v>
      </c>
      <c r="C259" s="177" t="s">
        <v>617</v>
      </c>
      <c r="D259" s="160" t="s">
        <v>586</v>
      </c>
      <c r="E259" s="160" t="s">
        <v>655</v>
      </c>
      <c r="F259" s="161" t="s">
        <v>149</v>
      </c>
      <c r="G259" s="162">
        <v>3</v>
      </c>
      <c r="H259" s="162"/>
      <c r="I259" s="162"/>
      <c r="J259" s="162"/>
      <c r="K259" s="175" t="s">
        <v>528</v>
      </c>
      <c r="L259" s="176"/>
      <c r="M259" s="176"/>
    </row>
    <row r="260" spans="1:13" hidden="1">
      <c r="A260" s="157"/>
      <c r="B260" s="170" t="str">
        <f t="shared" si="4"/>
        <v>3370000</v>
      </c>
      <c r="C260" s="171" t="s">
        <v>618</v>
      </c>
      <c r="D260" s="172" t="s">
        <v>370</v>
      </c>
      <c r="E260" s="172" t="s">
        <v>370</v>
      </c>
      <c r="F260" s="181" t="s">
        <v>150</v>
      </c>
      <c r="G260" s="178">
        <v>1</v>
      </c>
      <c r="H260" s="197" t="s">
        <v>30</v>
      </c>
      <c r="I260" s="201" t="s">
        <v>857</v>
      </c>
      <c r="J260" s="201" t="s">
        <v>829</v>
      </c>
      <c r="K260" s="175" t="s">
        <v>528</v>
      </c>
      <c r="L260" s="176"/>
      <c r="M260" s="176"/>
    </row>
    <row r="261" spans="1:13" ht="15.75" hidden="1" customHeight="1">
      <c r="A261" s="157"/>
      <c r="B261" s="202" t="str">
        <f t="shared" si="4"/>
        <v>3371000</v>
      </c>
      <c r="C261" s="203" t="s">
        <v>618</v>
      </c>
      <c r="D261" s="204" t="s">
        <v>569</v>
      </c>
      <c r="E261" s="204" t="s">
        <v>370</v>
      </c>
      <c r="F261" s="207" t="s">
        <v>150</v>
      </c>
      <c r="G261" s="184">
        <v>2</v>
      </c>
      <c r="H261" s="162" t="s">
        <v>30</v>
      </c>
      <c r="I261" s="216"/>
      <c r="J261" s="216"/>
      <c r="K261" s="175" t="s">
        <v>528</v>
      </c>
      <c r="L261" s="176"/>
      <c r="M261" s="176"/>
    </row>
    <row r="262" spans="1:13" ht="15.75" hidden="1" customHeight="1">
      <c r="A262" s="157"/>
      <c r="B262" s="158" t="str">
        <f t="shared" si="4"/>
        <v>3371101</v>
      </c>
      <c r="C262" s="177" t="s">
        <v>618</v>
      </c>
      <c r="D262" s="160" t="s">
        <v>566</v>
      </c>
      <c r="E262" s="160" t="s">
        <v>655</v>
      </c>
      <c r="F262" s="161" t="s">
        <v>150</v>
      </c>
      <c r="G262" s="162">
        <v>3</v>
      </c>
      <c r="H262" s="162"/>
      <c r="I262" s="162"/>
      <c r="J262" s="162"/>
      <c r="K262" s="175" t="s">
        <v>528</v>
      </c>
      <c r="L262" s="176"/>
      <c r="M262" s="176"/>
    </row>
    <row r="263" spans="1:13" ht="15.75" hidden="1" customHeight="1">
      <c r="A263" s="157"/>
      <c r="B263" s="170" t="str">
        <f t="shared" si="4"/>
        <v>3380000</v>
      </c>
      <c r="C263" s="171" t="s">
        <v>619</v>
      </c>
      <c r="D263" s="172" t="s">
        <v>370</v>
      </c>
      <c r="E263" s="172" t="s">
        <v>370</v>
      </c>
      <c r="F263" s="171" t="s">
        <v>151</v>
      </c>
      <c r="G263" s="178">
        <v>1</v>
      </c>
      <c r="H263" s="197" t="s">
        <v>30</v>
      </c>
      <c r="I263" s="201"/>
      <c r="J263" s="201"/>
      <c r="K263" s="175" t="s">
        <v>528</v>
      </c>
      <c r="L263" s="176"/>
      <c r="M263" s="176"/>
    </row>
    <row r="264" spans="1:13" ht="15.75" hidden="1" customHeight="1">
      <c r="A264" s="157"/>
      <c r="B264" s="202" t="str">
        <f t="shared" si="4"/>
        <v>3381000</v>
      </c>
      <c r="C264" s="203" t="s">
        <v>619</v>
      </c>
      <c r="D264" s="204" t="s">
        <v>569</v>
      </c>
      <c r="E264" s="204" t="s">
        <v>370</v>
      </c>
      <c r="F264" s="207" t="s">
        <v>152</v>
      </c>
      <c r="G264" s="184">
        <v>2</v>
      </c>
      <c r="H264" s="162" t="s">
        <v>30</v>
      </c>
      <c r="I264" s="216" t="s">
        <v>846</v>
      </c>
      <c r="J264" s="216" t="s">
        <v>858</v>
      </c>
      <c r="K264" s="175" t="s">
        <v>528</v>
      </c>
      <c r="L264" s="176"/>
      <c r="M264" s="176"/>
    </row>
    <row r="265" spans="1:13" ht="15.75" hidden="1" customHeight="1">
      <c r="A265" s="157"/>
      <c r="B265" s="158" t="str">
        <f t="shared" si="4"/>
        <v>3381101</v>
      </c>
      <c r="C265" s="177" t="s">
        <v>619</v>
      </c>
      <c r="D265" s="160" t="s">
        <v>566</v>
      </c>
      <c r="E265" s="160" t="s">
        <v>655</v>
      </c>
      <c r="F265" s="161" t="s">
        <v>152</v>
      </c>
      <c r="G265" s="162">
        <v>3</v>
      </c>
      <c r="H265" s="162"/>
      <c r="I265" s="162"/>
      <c r="J265" s="162"/>
      <c r="K265" s="175" t="s">
        <v>528</v>
      </c>
      <c r="L265" s="176"/>
      <c r="M265" s="176"/>
    </row>
    <row r="266" spans="1:13" ht="15.75" hidden="1" customHeight="1">
      <c r="A266" s="157"/>
      <c r="B266" s="202" t="str">
        <f t="shared" si="4"/>
        <v>3382000</v>
      </c>
      <c r="C266" s="203" t="s">
        <v>619</v>
      </c>
      <c r="D266" s="204" t="s">
        <v>578</v>
      </c>
      <c r="E266" s="204" t="s">
        <v>370</v>
      </c>
      <c r="F266" s="207" t="s">
        <v>153</v>
      </c>
      <c r="G266" s="184">
        <v>2</v>
      </c>
      <c r="H266" s="162" t="s">
        <v>30</v>
      </c>
      <c r="I266" s="216" t="s">
        <v>846</v>
      </c>
      <c r="J266" s="216" t="s">
        <v>858</v>
      </c>
      <c r="K266" s="175" t="s">
        <v>528</v>
      </c>
      <c r="L266" s="176"/>
      <c r="M266" s="176"/>
    </row>
    <row r="267" spans="1:13" ht="15.75" hidden="1" customHeight="1">
      <c r="A267" s="157"/>
      <c r="B267" s="158" t="str">
        <f t="shared" si="4"/>
        <v>3382101</v>
      </c>
      <c r="C267" s="177" t="s">
        <v>619</v>
      </c>
      <c r="D267" s="160" t="s">
        <v>567</v>
      </c>
      <c r="E267" s="160" t="s">
        <v>655</v>
      </c>
      <c r="F267" s="161" t="s">
        <v>153</v>
      </c>
      <c r="G267" s="162">
        <v>3</v>
      </c>
      <c r="H267" s="162"/>
      <c r="I267" s="162"/>
      <c r="J267" s="162"/>
      <c r="K267" s="175" t="s">
        <v>528</v>
      </c>
      <c r="L267" s="175" t="s">
        <v>532</v>
      </c>
      <c r="M267" s="176"/>
    </row>
    <row r="268" spans="1:13" ht="15.75" hidden="1" customHeight="1">
      <c r="A268" s="157"/>
      <c r="B268" s="202" t="str">
        <f t="shared" si="4"/>
        <v>3383000</v>
      </c>
      <c r="C268" s="203" t="s">
        <v>619</v>
      </c>
      <c r="D268" s="204" t="s">
        <v>579</v>
      </c>
      <c r="E268" s="204" t="s">
        <v>370</v>
      </c>
      <c r="F268" s="207" t="s">
        <v>154</v>
      </c>
      <c r="G268" s="184">
        <v>2</v>
      </c>
      <c r="H268" s="162" t="s">
        <v>30</v>
      </c>
      <c r="I268" s="216" t="s">
        <v>846</v>
      </c>
      <c r="J268" s="216" t="s">
        <v>858</v>
      </c>
      <c r="K268" s="175" t="s">
        <v>528</v>
      </c>
      <c r="L268" s="176"/>
      <c r="M268" s="176"/>
    </row>
    <row r="269" spans="1:13" ht="15.75" hidden="1" customHeight="1">
      <c r="A269" s="157"/>
      <c r="B269" s="158" t="str">
        <f t="shared" ref="B269:B332" si="6">C269&amp;D269&amp;E269</f>
        <v>3383101</v>
      </c>
      <c r="C269" s="177" t="s">
        <v>619</v>
      </c>
      <c r="D269" s="160" t="s">
        <v>571</v>
      </c>
      <c r="E269" s="160" t="s">
        <v>655</v>
      </c>
      <c r="F269" s="161" t="s">
        <v>154</v>
      </c>
      <c r="G269" s="162">
        <v>3</v>
      </c>
      <c r="H269" s="162"/>
      <c r="I269" s="162"/>
      <c r="J269" s="162"/>
      <c r="K269" s="175" t="s">
        <v>528</v>
      </c>
      <c r="L269" s="175" t="s">
        <v>532</v>
      </c>
      <c r="M269" s="176"/>
    </row>
    <row r="270" spans="1:13" ht="15.75" hidden="1" customHeight="1">
      <c r="A270" s="157"/>
      <c r="B270" s="202" t="str">
        <f t="shared" si="6"/>
        <v>3384000</v>
      </c>
      <c r="C270" s="203" t="s">
        <v>619</v>
      </c>
      <c r="D270" s="204" t="s">
        <v>664</v>
      </c>
      <c r="E270" s="204" t="s">
        <v>370</v>
      </c>
      <c r="F270" s="207" t="s">
        <v>155</v>
      </c>
      <c r="G270" s="184">
        <v>2</v>
      </c>
      <c r="H270" s="162" t="s">
        <v>30</v>
      </c>
      <c r="I270" s="216" t="s">
        <v>846</v>
      </c>
      <c r="J270" s="216" t="s">
        <v>858</v>
      </c>
      <c r="K270" s="175" t="s">
        <v>528</v>
      </c>
      <c r="L270" s="176"/>
      <c r="M270" s="176"/>
    </row>
    <row r="271" spans="1:13" ht="15.75" hidden="1" customHeight="1">
      <c r="A271" s="157"/>
      <c r="B271" s="158" t="str">
        <f t="shared" si="6"/>
        <v>3384101</v>
      </c>
      <c r="C271" s="177" t="s">
        <v>619</v>
      </c>
      <c r="D271" s="160" t="s">
        <v>592</v>
      </c>
      <c r="E271" s="160" t="s">
        <v>655</v>
      </c>
      <c r="F271" s="161" t="s">
        <v>155</v>
      </c>
      <c r="G271" s="162">
        <v>3</v>
      </c>
      <c r="H271" s="162"/>
      <c r="I271" s="162"/>
      <c r="J271" s="162"/>
      <c r="K271" s="175" t="s">
        <v>528</v>
      </c>
      <c r="L271" s="175" t="s">
        <v>532</v>
      </c>
      <c r="M271" s="176"/>
    </row>
    <row r="272" spans="1:13" ht="15.75" hidden="1" customHeight="1">
      <c r="A272" s="157"/>
      <c r="B272" s="202" t="str">
        <f t="shared" si="6"/>
        <v>3385000</v>
      </c>
      <c r="C272" s="203" t="s">
        <v>619</v>
      </c>
      <c r="D272" s="204" t="s">
        <v>669</v>
      </c>
      <c r="E272" s="204" t="s">
        <v>370</v>
      </c>
      <c r="F272" s="207" t="s">
        <v>156</v>
      </c>
      <c r="G272" s="184">
        <v>2</v>
      </c>
      <c r="H272" s="162" t="s">
        <v>30</v>
      </c>
      <c r="I272" s="216" t="s">
        <v>846</v>
      </c>
      <c r="J272" s="216" t="s">
        <v>858</v>
      </c>
      <c r="K272" s="175" t="s">
        <v>528</v>
      </c>
      <c r="L272" s="176"/>
      <c r="M272" s="176"/>
    </row>
    <row r="273" spans="1:14" ht="15.75" hidden="1" customHeight="1">
      <c r="A273" s="157"/>
      <c r="B273" s="158" t="str">
        <f t="shared" si="6"/>
        <v>3385101</v>
      </c>
      <c r="C273" s="177" t="s">
        <v>619</v>
      </c>
      <c r="D273" s="160" t="s">
        <v>585</v>
      </c>
      <c r="E273" s="160" t="s">
        <v>655</v>
      </c>
      <c r="F273" s="161" t="s">
        <v>156</v>
      </c>
      <c r="G273" s="162">
        <v>3</v>
      </c>
      <c r="H273" s="162"/>
      <c r="I273" s="162"/>
      <c r="J273" s="162"/>
      <c r="K273" s="175" t="s">
        <v>528</v>
      </c>
      <c r="L273" s="176"/>
      <c r="M273" s="176"/>
    </row>
    <row r="274" spans="1:14" ht="15.75" hidden="1" customHeight="1">
      <c r="A274" s="157"/>
      <c r="B274" s="202" t="str">
        <f t="shared" si="6"/>
        <v>3386000</v>
      </c>
      <c r="C274" s="203" t="s">
        <v>619</v>
      </c>
      <c r="D274" s="204" t="s">
        <v>805</v>
      </c>
      <c r="E274" s="204" t="s">
        <v>370</v>
      </c>
      <c r="F274" s="207" t="s">
        <v>157</v>
      </c>
      <c r="G274" s="184">
        <v>2</v>
      </c>
      <c r="H274" s="162" t="s">
        <v>30</v>
      </c>
      <c r="I274" s="216" t="s">
        <v>846</v>
      </c>
      <c r="J274" s="216" t="s">
        <v>858</v>
      </c>
      <c r="K274" s="175" t="s">
        <v>528</v>
      </c>
      <c r="L274" s="176"/>
      <c r="M274" s="176"/>
    </row>
    <row r="275" spans="1:14" ht="15.75" hidden="1" customHeight="1">
      <c r="A275" s="157"/>
      <c r="B275" s="158" t="str">
        <f t="shared" si="6"/>
        <v>3386101</v>
      </c>
      <c r="C275" s="177" t="s">
        <v>619</v>
      </c>
      <c r="D275" s="160" t="s">
        <v>600</v>
      </c>
      <c r="E275" s="160" t="s">
        <v>655</v>
      </c>
      <c r="F275" s="161" t="s">
        <v>157</v>
      </c>
      <c r="G275" s="162">
        <v>3</v>
      </c>
      <c r="H275" s="162"/>
      <c r="I275" s="162"/>
      <c r="J275" s="162"/>
      <c r="K275" s="175" t="s">
        <v>528</v>
      </c>
      <c r="L275" s="175" t="s">
        <v>532</v>
      </c>
      <c r="M275" s="176"/>
    </row>
    <row r="276" spans="1:14" ht="15.75" hidden="1" customHeight="1">
      <c r="A276" s="157"/>
      <c r="B276" s="202" t="str">
        <f t="shared" si="6"/>
        <v>3387000</v>
      </c>
      <c r="C276" s="203" t="s">
        <v>619</v>
      </c>
      <c r="D276" s="204" t="s">
        <v>668</v>
      </c>
      <c r="E276" s="204" t="s">
        <v>370</v>
      </c>
      <c r="F276" s="207" t="s">
        <v>158</v>
      </c>
      <c r="G276" s="184">
        <v>2</v>
      </c>
      <c r="H276" s="162" t="s">
        <v>30</v>
      </c>
      <c r="I276" s="216"/>
      <c r="J276" s="216" t="s">
        <v>859</v>
      </c>
      <c r="K276" s="175" t="s">
        <v>528</v>
      </c>
      <c r="L276" s="176"/>
      <c r="M276" s="176"/>
    </row>
    <row r="277" spans="1:14" ht="15.75" hidden="1" customHeight="1">
      <c r="A277" s="157"/>
      <c r="B277" s="158" t="str">
        <f t="shared" si="6"/>
        <v>3387101</v>
      </c>
      <c r="C277" s="177" t="s">
        <v>619</v>
      </c>
      <c r="D277" s="160" t="s">
        <v>601</v>
      </c>
      <c r="E277" s="160" t="s">
        <v>655</v>
      </c>
      <c r="F277" s="161" t="s">
        <v>158</v>
      </c>
      <c r="G277" s="162">
        <v>3</v>
      </c>
      <c r="H277" s="162"/>
      <c r="I277" s="162"/>
      <c r="J277" s="162"/>
      <c r="K277" s="175" t="s">
        <v>528</v>
      </c>
      <c r="L277" s="176"/>
      <c r="M277" s="176"/>
    </row>
    <row r="278" spans="1:14" ht="15.75" hidden="1" customHeight="1">
      <c r="A278" s="157"/>
      <c r="B278" s="202" t="str">
        <f t="shared" si="6"/>
        <v>3388000</v>
      </c>
      <c r="C278" s="203" t="s">
        <v>619</v>
      </c>
      <c r="D278" s="204" t="s">
        <v>660</v>
      </c>
      <c r="E278" s="204" t="s">
        <v>370</v>
      </c>
      <c r="F278" s="207" t="s">
        <v>151</v>
      </c>
      <c r="G278" s="184">
        <v>2</v>
      </c>
      <c r="H278" s="162" t="s">
        <v>30</v>
      </c>
      <c r="I278" s="216" t="s">
        <v>846</v>
      </c>
      <c r="J278" s="216" t="s">
        <v>858</v>
      </c>
      <c r="K278" s="175" t="s">
        <v>528</v>
      </c>
      <c r="L278" s="176"/>
      <c r="M278" s="176"/>
      <c r="N278" s="324" t="s">
        <v>979</v>
      </c>
    </row>
    <row r="279" spans="1:14" ht="15.75" hidden="1" customHeight="1">
      <c r="A279" s="157"/>
      <c r="B279" s="158" t="str">
        <f t="shared" si="6"/>
        <v>3388101</v>
      </c>
      <c r="C279" s="177" t="s">
        <v>619</v>
      </c>
      <c r="D279" s="160" t="s">
        <v>586</v>
      </c>
      <c r="E279" s="160" t="s">
        <v>655</v>
      </c>
      <c r="F279" s="161" t="s">
        <v>978</v>
      </c>
      <c r="G279" s="162">
        <v>3</v>
      </c>
      <c r="H279" s="162"/>
      <c r="I279" s="162"/>
      <c r="J279" s="162"/>
      <c r="K279" s="175" t="s">
        <v>528</v>
      </c>
      <c r="L279" s="176"/>
      <c r="M279" s="176"/>
    </row>
    <row r="280" spans="1:14" ht="15.75" hidden="1" customHeight="1">
      <c r="A280" s="157"/>
      <c r="B280" s="170" t="str">
        <f t="shared" si="6"/>
        <v>3410000</v>
      </c>
      <c r="C280" s="171" t="s">
        <v>620</v>
      </c>
      <c r="D280" s="172" t="s">
        <v>370</v>
      </c>
      <c r="E280" s="172" t="s">
        <v>370</v>
      </c>
      <c r="F280" s="171" t="s">
        <v>159</v>
      </c>
      <c r="G280" s="178">
        <v>1</v>
      </c>
      <c r="H280" s="197" t="s">
        <v>30</v>
      </c>
      <c r="I280" s="201"/>
      <c r="J280" s="201"/>
      <c r="K280" s="175" t="s">
        <v>528</v>
      </c>
      <c r="L280" s="176"/>
      <c r="M280" s="176"/>
    </row>
    <row r="281" spans="1:14" ht="15.75" hidden="1" customHeight="1">
      <c r="A281" s="157"/>
      <c r="B281" s="202" t="str">
        <f t="shared" si="6"/>
        <v>3411000</v>
      </c>
      <c r="C281" s="203" t="s">
        <v>620</v>
      </c>
      <c r="D281" s="204" t="s">
        <v>569</v>
      </c>
      <c r="E281" s="204" t="s">
        <v>370</v>
      </c>
      <c r="F281" s="207" t="s">
        <v>160</v>
      </c>
      <c r="G281" s="184">
        <v>2</v>
      </c>
      <c r="H281" s="162" t="s">
        <v>30</v>
      </c>
      <c r="I281" s="216"/>
      <c r="J281" s="216" t="s">
        <v>860</v>
      </c>
      <c r="K281" s="175" t="s">
        <v>528</v>
      </c>
      <c r="L281" s="176"/>
      <c r="M281" s="176"/>
    </row>
    <row r="282" spans="1:14" ht="15.75" hidden="1" customHeight="1">
      <c r="A282" s="157"/>
      <c r="B282" s="158" t="str">
        <f t="shared" si="6"/>
        <v>3411101</v>
      </c>
      <c r="C282" s="177" t="s">
        <v>620</v>
      </c>
      <c r="D282" s="160" t="s">
        <v>566</v>
      </c>
      <c r="E282" s="160" t="s">
        <v>655</v>
      </c>
      <c r="F282" s="161" t="s">
        <v>161</v>
      </c>
      <c r="G282" s="162">
        <v>3</v>
      </c>
      <c r="H282" s="162"/>
      <c r="I282" s="162"/>
      <c r="J282" s="162"/>
      <c r="K282" s="175" t="s">
        <v>528</v>
      </c>
      <c r="L282" s="175" t="s">
        <v>532</v>
      </c>
      <c r="M282" s="176"/>
    </row>
    <row r="283" spans="1:14" ht="15.75" hidden="1" customHeight="1">
      <c r="A283" s="157"/>
      <c r="B283" s="158" t="str">
        <f t="shared" si="6"/>
        <v>3411102</v>
      </c>
      <c r="C283" s="177" t="s">
        <v>620</v>
      </c>
      <c r="D283" s="177" t="s">
        <v>566</v>
      </c>
      <c r="E283" s="160" t="s">
        <v>657</v>
      </c>
      <c r="F283" s="161" t="s">
        <v>162</v>
      </c>
      <c r="G283" s="162">
        <v>3</v>
      </c>
      <c r="H283" s="162"/>
      <c r="I283" s="162"/>
      <c r="J283" s="162"/>
      <c r="K283" s="175" t="s">
        <v>528</v>
      </c>
      <c r="L283" s="175" t="s">
        <v>532</v>
      </c>
      <c r="M283" s="176"/>
    </row>
    <row r="284" spans="1:14" ht="15.75" hidden="1" customHeight="1">
      <c r="A284" s="157"/>
      <c r="B284" s="202" t="str">
        <f t="shared" si="6"/>
        <v>3412000</v>
      </c>
      <c r="C284" s="203" t="s">
        <v>620</v>
      </c>
      <c r="D284" s="204" t="s">
        <v>578</v>
      </c>
      <c r="E284" s="204" t="s">
        <v>370</v>
      </c>
      <c r="F284" s="207" t="s">
        <v>163</v>
      </c>
      <c r="G284" s="184">
        <v>2</v>
      </c>
      <c r="H284" s="162" t="s">
        <v>30</v>
      </c>
      <c r="I284" s="216"/>
      <c r="J284" s="216" t="s">
        <v>861</v>
      </c>
      <c r="K284" s="175" t="s">
        <v>528</v>
      </c>
      <c r="L284" s="176"/>
      <c r="M284" s="176"/>
    </row>
    <row r="285" spans="1:14" ht="15.75" hidden="1" customHeight="1">
      <c r="A285" s="157"/>
      <c r="B285" s="158" t="str">
        <f t="shared" si="6"/>
        <v>3412101</v>
      </c>
      <c r="C285" s="177" t="s">
        <v>620</v>
      </c>
      <c r="D285" s="160" t="s">
        <v>567</v>
      </c>
      <c r="E285" s="160" t="s">
        <v>655</v>
      </c>
      <c r="F285" s="161" t="s">
        <v>163</v>
      </c>
      <c r="G285" s="162">
        <v>3</v>
      </c>
      <c r="H285" s="162"/>
      <c r="I285" s="162"/>
      <c r="J285" s="162"/>
      <c r="K285" s="175" t="s">
        <v>528</v>
      </c>
      <c r="L285" s="175" t="s">
        <v>532</v>
      </c>
      <c r="M285" s="176"/>
    </row>
    <row r="286" spans="1:14" ht="15.75" hidden="1" customHeight="1">
      <c r="A286" s="157"/>
      <c r="B286" s="202" t="str">
        <f t="shared" si="6"/>
        <v>3419000</v>
      </c>
      <c r="C286" s="203" t="s">
        <v>620</v>
      </c>
      <c r="D286" s="204" t="s">
        <v>580</v>
      </c>
      <c r="E286" s="204" t="s">
        <v>370</v>
      </c>
      <c r="F286" s="211" t="s">
        <v>808</v>
      </c>
      <c r="G286" s="184">
        <v>2</v>
      </c>
      <c r="H286" s="162" t="s">
        <v>30</v>
      </c>
      <c r="I286" s="216"/>
      <c r="J286" s="216"/>
      <c r="K286" s="175" t="s">
        <v>528</v>
      </c>
      <c r="L286" s="176"/>
      <c r="M286" s="176"/>
    </row>
    <row r="287" spans="1:14" ht="15.75" hidden="1" customHeight="1">
      <c r="A287" s="157"/>
      <c r="B287" s="158" t="str">
        <f t="shared" si="6"/>
        <v>3419101</v>
      </c>
      <c r="C287" s="177" t="s">
        <v>620</v>
      </c>
      <c r="D287" s="160" t="s">
        <v>614</v>
      </c>
      <c r="E287" s="160" t="s">
        <v>655</v>
      </c>
      <c r="F287" s="161" t="s">
        <v>808</v>
      </c>
      <c r="G287" s="162">
        <v>3</v>
      </c>
      <c r="H287" s="162"/>
      <c r="I287" s="162"/>
      <c r="J287" s="162"/>
      <c r="K287" s="175" t="s">
        <v>528</v>
      </c>
      <c r="L287" s="176"/>
      <c r="M287" s="176"/>
    </row>
    <row r="288" spans="1:14" ht="15.75" hidden="1" customHeight="1">
      <c r="A288" s="157"/>
      <c r="B288" s="170" t="str">
        <f t="shared" si="6"/>
        <v>3440000</v>
      </c>
      <c r="C288" s="171" t="s">
        <v>621</v>
      </c>
      <c r="D288" s="172" t="s">
        <v>370</v>
      </c>
      <c r="E288" s="172" t="s">
        <v>370</v>
      </c>
      <c r="F288" s="181" t="s">
        <v>164</v>
      </c>
      <c r="G288" s="178">
        <v>1</v>
      </c>
      <c r="H288" s="197" t="s">
        <v>30</v>
      </c>
      <c r="I288" s="201"/>
      <c r="J288" s="201"/>
      <c r="K288" s="175" t="s">
        <v>528</v>
      </c>
      <c r="L288" s="176"/>
      <c r="M288" s="176"/>
    </row>
    <row r="289" spans="1:13" ht="15.75" hidden="1" customHeight="1">
      <c r="A289" s="157"/>
      <c r="B289" s="202" t="str">
        <f t="shared" si="6"/>
        <v>3441000</v>
      </c>
      <c r="C289" s="203" t="s">
        <v>621</v>
      </c>
      <c r="D289" s="204" t="s">
        <v>569</v>
      </c>
      <c r="E289" s="204" t="s">
        <v>370</v>
      </c>
      <c r="F289" s="207" t="s">
        <v>164</v>
      </c>
      <c r="G289" s="184">
        <v>2</v>
      </c>
      <c r="H289" s="162" t="s">
        <v>30</v>
      </c>
      <c r="I289" s="216"/>
      <c r="J289" s="216"/>
      <c r="K289" s="175" t="s">
        <v>528</v>
      </c>
      <c r="L289" s="176"/>
      <c r="M289" s="176"/>
    </row>
    <row r="290" spans="1:13" hidden="1">
      <c r="A290" s="157"/>
      <c r="B290" s="158" t="str">
        <f t="shared" si="6"/>
        <v>3441101</v>
      </c>
      <c r="C290" s="177" t="s">
        <v>621</v>
      </c>
      <c r="D290" s="160" t="s">
        <v>566</v>
      </c>
      <c r="E290" s="160" t="s">
        <v>655</v>
      </c>
      <c r="F290" s="161" t="s">
        <v>165</v>
      </c>
      <c r="G290" s="162">
        <v>3</v>
      </c>
      <c r="H290" s="162"/>
      <c r="I290" s="162"/>
      <c r="J290" s="162" t="s">
        <v>858</v>
      </c>
      <c r="K290" s="175" t="s">
        <v>528</v>
      </c>
      <c r="L290" s="175" t="s">
        <v>57</v>
      </c>
      <c r="M290" s="176"/>
    </row>
    <row r="291" spans="1:13" hidden="1">
      <c r="A291" s="157"/>
      <c r="B291" s="158" t="str">
        <f t="shared" si="6"/>
        <v>3441102</v>
      </c>
      <c r="C291" s="177" t="s">
        <v>621</v>
      </c>
      <c r="D291" s="160" t="s">
        <v>566</v>
      </c>
      <c r="E291" s="160" t="s">
        <v>657</v>
      </c>
      <c r="F291" s="161" t="s">
        <v>166</v>
      </c>
      <c r="G291" s="162">
        <v>3</v>
      </c>
      <c r="H291" s="162"/>
      <c r="I291" s="162"/>
      <c r="J291" s="162" t="s">
        <v>862</v>
      </c>
      <c r="K291" s="175" t="s">
        <v>528</v>
      </c>
      <c r="L291" s="175" t="s">
        <v>57</v>
      </c>
      <c r="M291" s="176"/>
    </row>
    <row r="292" spans="1:13" hidden="1">
      <c r="A292" s="157"/>
      <c r="B292" s="170" t="str">
        <f t="shared" si="6"/>
        <v>3470000</v>
      </c>
      <c r="C292" s="171" t="s">
        <v>622</v>
      </c>
      <c r="D292" s="172" t="s">
        <v>370</v>
      </c>
      <c r="E292" s="172" t="s">
        <v>370</v>
      </c>
      <c r="F292" s="181" t="s">
        <v>167</v>
      </c>
      <c r="G292" s="178">
        <v>1</v>
      </c>
      <c r="H292" s="197" t="s">
        <v>30</v>
      </c>
      <c r="I292" s="201"/>
      <c r="J292" s="201" t="s">
        <v>830</v>
      </c>
      <c r="K292" s="175" t="s">
        <v>528</v>
      </c>
      <c r="L292" s="175"/>
      <c r="M292" s="176"/>
    </row>
    <row r="293" spans="1:13" ht="15.75" hidden="1" customHeight="1">
      <c r="A293" s="157"/>
      <c r="B293" s="202" t="str">
        <f t="shared" si="6"/>
        <v>3471000</v>
      </c>
      <c r="C293" s="203" t="s">
        <v>622</v>
      </c>
      <c r="D293" s="204" t="s">
        <v>569</v>
      </c>
      <c r="E293" s="204" t="s">
        <v>370</v>
      </c>
      <c r="F293" s="207" t="s">
        <v>167</v>
      </c>
      <c r="G293" s="184">
        <v>2</v>
      </c>
      <c r="H293" s="162" t="s">
        <v>30</v>
      </c>
      <c r="I293" s="216"/>
      <c r="J293" s="216"/>
      <c r="K293" s="175" t="s">
        <v>528</v>
      </c>
      <c r="L293" s="175"/>
      <c r="M293" s="176"/>
    </row>
    <row r="294" spans="1:13" ht="15.75" hidden="1" customHeight="1">
      <c r="A294" s="157"/>
      <c r="B294" s="158" t="str">
        <f t="shared" si="6"/>
        <v>3471101</v>
      </c>
      <c r="C294" s="177" t="s">
        <v>622</v>
      </c>
      <c r="D294" s="160" t="s">
        <v>566</v>
      </c>
      <c r="E294" s="160" t="s">
        <v>655</v>
      </c>
      <c r="F294" s="161" t="s">
        <v>167</v>
      </c>
      <c r="G294" s="162">
        <v>3</v>
      </c>
      <c r="H294" s="162"/>
      <c r="I294" s="162"/>
      <c r="J294" s="162"/>
      <c r="K294" s="175" t="s">
        <v>528</v>
      </c>
      <c r="L294" s="175"/>
      <c r="M294" s="176"/>
    </row>
    <row r="295" spans="1:13" hidden="1">
      <c r="A295" s="157"/>
      <c r="B295" s="170" t="str">
        <f t="shared" si="6"/>
        <v>3520000</v>
      </c>
      <c r="C295" s="171" t="s">
        <v>623</v>
      </c>
      <c r="D295" s="172" t="s">
        <v>370</v>
      </c>
      <c r="E295" s="172" t="s">
        <v>370</v>
      </c>
      <c r="F295" s="181" t="s">
        <v>168</v>
      </c>
      <c r="G295" s="178">
        <v>1</v>
      </c>
      <c r="H295" s="197" t="s">
        <v>30</v>
      </c>
      <c r="I295" s="201"/>
      <c r="J295" s="201" t="s">
        <v>863</v>
      </c>
      <c r="K295" s="175" t="s">
        <v>528</v>
      </c>
      <c r="L295" s="176"/>
      <c r="M295" s="176"/>
    </row>
    <row r="296" spans="1:13" ht="15.75" hidden="1" customHeight="1">
      <c r="A296" s="157"/>
      <c r="B296" s="202" t="str">
        <f t="shared" si="6"/>
        <v>3521000</v>
      </c>
      <c r="C296" s="203" t="s">
        <v>623</v>
      </c>
      <c r="D296" s="204" t="s">
        <v>569</v>
      </c>
      <c r="E296" s="204" t="s">
        <v>370</v>
      </c>
      <c r="F296" s="207" t="s">
        <v>169</v>
      </c>
      <c r="G296" s="184">
        <v>2</v>
      </c>
      <c r="H296" s="162" t="s">
        <v>30</v>
      </c>
      <c r="I296" s="216"/>
      <c r="J296" s="216"/>
      <c r="K296" s="175" t="s">
        <v>528</v>
      </c>
      <c r="L296" s="176"/>
      <c r="M296" s="176"/>
    </row>
    <row r="297" spans="1:13" ht="15.75" hidden="1" customHeight="1">
      <c r="A297" s="157"/>
      <c r="B297" s="158" t="str">
        <f t="shared" si="6"/>
        <v>3521101</v>
      </c>
      <c r="C297" s="177" t="s">
        <v>623</v>
      </c>
      <c r="D297" s="160" t="s">
        <v>566</v>
      </c>
      <c r="E297" s="160" t="s">
        <v>655</v>
      </c>
      <c r="F297" s="161" t="s">
        <v>169</v>
      </c>
      <c r="G297" s="162">
        <v>3</v>
      </c>
      <c r="H297" s="162"/>
      <c r="I297" s="162"/>
      <c r="J297" s="162"/>
      <c r="K297" s="175" t="s">
        <v>528</v>
      </c>
      <c r="L297" s="176"/>
      <c r="M297" s="176"/>
    </row>
    <row r="298" spans="1:13" ht="15.75" hidden="1" customHeight="1">
      <c r="A298" s="157"/>
      <c r="B298" s="202" t="str">
        <f t="shared" si="6"/>
        <v>3522000</v>
      </c>
      <c r="C298" s="203" t="s">
        <v>623</v>
      </c>
      <c r="D298" s="204" t="s">
        <v>578</v>
      </c>
      <c r="E298" s="204" t="s">
        <v>370</v>
      </c>
      <c r="F298" s="207" t="s">
        <v>170</v>
      </c>
      <c r="G298" s="184">
        <v>2</v>
      </c>
      <c r="H298" s="162" t="s">
        <v>30</v>
      </c>
      <c r="I298" s="216"/>
      <c r="J298" s="216"/>
      <c r="K298" s="175" t="s">
        <v>528</v>
      </c>
      <c r="L298" s="176"/>
      <c r="M298" s="176"/>
    </row>
    <row r="299" spans="1:13" ht="15.75" hidden="1" customHeight="1">
      <c r="A299" s="157"/>
      <c r="B299" s="158" t="str">
        <f t="shared" si="6"/>
        <v>3522101</v>
      </c>
      <c r="C299" s="177" t="s">
        <v>623</v>
      </c>
      <c r="D299" s="160" t="s">
        <v>567</v>
      </c>
      <c r="E299" s="160" t="s">
        <v>655</v>
      </c>
      <c r="F299" s="161" t="s">
        <v>170</v>
      </c>
      <c r="G299" s="162">
        <v>3</v>
      </c>
      <c r="H299" s="162"/>
      <c r="I299" s="162"/>
      <c r="J299" s="162"/>
      <c r="K299" s="175" t="s">
        <v>528</v>
      </c>
      <c r="L299" s="176"/>
      <c r="M299" s="176"/>
    </row>
    <row r="300" spans="1:13" ht="15.75" hidden="1" customHeight="1">
      <c r="A300" s="157"/>
      <c r="B300" s="202" t="str">
        <f t="shared" si="6"/>
        <v>3523000</v>
      </c>
      <c r="C300" s="203" t="s">
        <v>623</v>
      </c>
      <c r="D300" s="204" t="s">
        <v>579</v>
      </c>
      <c r="E300" s="204" t="s">
        <v>370</v>
      </c>
      <c r="F300" s="207" t="s">
        <v>171</v>
      </c>
      <c r="G300" s="184">
        <v>2</v>
      </c>
      <c r="H300" s="162" t="s">
        <v>30</v>
      </c>
      <c r="I300" s="216"/>
      <c r="J300" s="216"/>
      <c r="K300" s="175" t="s">
        <v>528</v>
      </c>
      <c r="L300" s="176"/>
      <c r="M300" s="176"/>
    </row>
    <row r="301" spans="1:13" ht="15.75" hidden="1" customHeight="1">
      <c r="A301" s="157"/>
      <c r="B301" s="158" t="str">
        <f t="shared" si="6"/>
        <v>3523101</v>
      </c>
      <c r="C301" s="177" t="s">
        <v>623</v>
      </c>
      <c r="D301" s="160" t="s">
        <v>571</v>
      </c>
      <c r="E301" s="160" t="s">
        <v>655</v>
      </c>
      <c r="F301" s="161" t="s">
        <v>171</v>
      </c>
      <c r="G301" s="162">
        <v>3</v>
      </c>
      <c r="H301" s="162"/>
      <c r="I301" s="162"/>
      <c r="J301" s="162"/>
      <c r="K301" s="175" t="s">
        <v>528</v>
      </c>
      <c r="L301" s="176"/>
      <c r="M301" s="176"/>
    </row>
    <row r="302" spans="1:13" ht="15.75" hidden="1" customHeight="1">
      <c r="A302" s="157"/>
      <c r="B302" s="202" t="str">
        <f t="shared" si="6"/>
        <v>3524000</v>
      </c>
      <c r="C302" s="203" t="s">
        <v>623</v>
      </c>
      <c r="D302" s="204" t="s">
        <v>664</v>
      </c>
      <c r="E302" s="204" t="s">
        <v>370</v>
      </c>
      <c r="F302" s="207" t="s">
        <v>172</v>
      </c>
      <c r="G302" s="184">
        <v>2</v>
      </c>
      <c r="H302" s="162" t="s">
        <v>30</v>
      </c>
      <c r="I302" s="216"/>
      <c r="J302" s="216"/>
      <c r="K302" s="175" t="s">
        <v>528</v>
      </c>
      <c r="L302" s="176"/>
      <c r="M302" s="176"/>
    </row>
    <row r="303" spans="1:13" ht="15.75" hidden="1" customHeight="1">
      <c r="A303" s="157"/>
      <c r="B303" s="158" t="str">
        <f t="shared" si="6"/>
        <v>3524101</v>
      </c>
      <c r="C303" s="177" t="s">
        <v>623</v>
      </c>
      <c r="D303" s="160" t="s">
        <v>592</v>
      </c>
      <c r="E303" s="160" t="s">
        <v>655</v>
      </c>
      <c r="F303" s="161" t="s">
        <v>172</v>
      </c>
      <c r="G303" s="162">
        <v>3</v>
      </c>
      <c r="H303" s="162"/>
      <c r="I303" s="162"/>
      <c r="J303" s="162"/>
      <c r="K303" s="175" t="s">
        <v>528</v>
      </c>
      <c r="L303" s="176"/>
      <c r="M303" s="176"/>
    </row>
    <row r="304" spans="1:13" hidden="1">
      <c r="A304" s="157"/>
      <c r="B304" s="170" t="str">
        <f t="shared" si="6"/>
        <v>3530000</v>
      </c>
      <c r="C304" s="171" t="s">
        <v>624</v>
      </c>
      <c r="D304" s="172" t="s">
        <v>370</v>
      </c>
      <c r="E304" s="172" t="s">
        <v>370</v>
      </c>
      <c r="F304" s="181" t="s">
        <v>173</v>
      </c>
      <c r="G304" s="178">
        <v>1</v>
      </c>
      <c r="H304" s="197" t="s">
        <v>30</v>
      </c>
      <c r="I304" s="201"/>
      <c r="J304" s="201" t="s">
        <v>831</v>
      </c>
      <c r="K304" s="175" t="s">
        <v>528</v>
      </c>
      <c r="L304" s="176"/>
      <c r="M304" s="176"/>
    </row>
    <row r="305" spans="1:13" ht="15.75" hidden="1" customHeight="1">
      <c r="A305" s="157"/>
      <c r="B305" s="202" t="str">
        <f t="shared" si="6"/>
        <v>3531000</v>
      </c>
      <c r="C305" s="203" t="s">
        <v>624</v>
      </c>
      <c r="D305" s="204" t="s">
        <v>569</v>
      </c>
      <c r="E305" s="204" t="s">
        <v>370</v>
      </c>
      <c r="F305" s="207" t="s">
        <v>174</v>
      </c>
      <c r="G305" s="184">
        <v>2</v>
      </c>
      <c r="H305" s="162" t="s">
        <v>30</v>
      </c>
      <c r="I305" s="216"/>
      <c r="J305" s="216"/>
      <c r="K305" s="175" t="s">
        <v>528</v>
      </c>
      <c r="L305" s="176"/>
      <c r="M305" s="176"/>
    </row>
    <row r="306" spans="1:13" ht="15.75" hidden="1" customHeight="1">
      <c r="A306" s="157"/>
      <c r="B306" s="158" t="str">
        <f t="shared" si="6"/>
        <v>3531101</v>
      </c>
      <c r="C306" s="177" t="s">
        <v>624</v>
      </c>
      <c r="D306" s="160" t="s">
        <v>566</v>
      </c>
      <c r="E306" s="160" t="s">
        <v>655</v>
      </c>
      <c r="F306" s="161" t="s">
        <v>174</v>
      </c>
      <c r="G306" s="162">
        <v>3</v>
      </c>
      <c r="H306" s="162"/>
      <c r="I306" s="162"/>
      <c r="J306" s="162"/>
      <c r="K306" s="175" t="s">
        <v>528</v>
      </c>
      <c r="L306" s="176"/>
      <c r="M306" s="176"/>
    </row>
    <row r="307" spans="1:13" ht="15.75" hidden="1" customHeight="1">
      <c r="A307" s="157"/>
      <c r="B307" s="202" t="str">
        <f t="shared" si="6"/>
        <v>3532000</v>
      </c>
      <c r="C307" s="203" t="s">
        <v>624</v>
      </c>
      <c r="D307" s="204" t="s">
        <v>578</v>
      </c>
      <c r="E307" s="204" t="s">
        <v>370</v>
      </c>
      <c r="F307" s="207" t="s">
        <v>175</v>
      </c>
      <c r="G307" s="184">
        <v>2</v>
      </c>
      <c r="H307" s="162" t="s">
        <v>30</v>
      </c>
      <c r="I307" s="216"/>
      <c r="J307" s="216"/>
      <c r="K307" s="175" t="s">
        <v>528</v>
      </c>
      <c r="L307" s="176"/>
      <c r="M307" s="176"/>
    </row>
    <row r="308" spans="1:13" ht="15.75" hidden="1" customHeight="1">
      <c r="A308" s="157"/>
      <c r="B308" s="158" t="str">
        <f t="shared" si="6"/>
        <v>3532101</v>
      </c>
      <c r="C308" s="177" t="s">
        <v>624</v>
      </c>
      <c r="D308" s="160" t="s">
        <v>567</v>
      </c>
      <c r="E308" s="160" t="s">
        <v>655</v>
      </c>
      <c r="F308" s="161" t="s">
        <v>175</v>
      </c>
      <c r="G308" s="162">
        <v>3</v>
      </c>
      <c r="H308" s="162"/>
      <c r="I308" s="162"/>
      <c r="J308" s="162"/>
      <c r="K308" s="175" t="s">
        <v>528</v>
      </c>
      <c r="L308" s="176"/>
      <c r="M308" s="176"/>
    </row>
    <row r="309" spans="1:13" ht="15.75" hidden="1" customHeight="1">
      <c r="A309" s="157"/>
      <c r="B309" s="202" t="str">
        <f t="shared" si="6"/>
        <v>3533000</v>
      </c>
      <c r="C309" s="203" t="s">
        <v>624</v>
      </c>
      <c r="D309" s="204" t="s">
        <v>579</v>
      </c>
      <c r="E309" s="204" t="s">
        <v>370</v>
      </c>
      <c r="F309" s="207" t="s">
        <v>176</v>
      </c>
      <c r="G309" s="184">
        <v>2</v>
      </c>
      <c r="H309" s="162" t="s">
        <v>30</v>
      </c>
      <c r="I309" s="216"/>
      <c r="J309" s="216"/>
      <c r="K309" s="175" t="s">
        <v>528</v>
      </c>
      <c r="L309" s="176"/>
      <c r="M309" s="176"/>
    </row>
    <row r="310" spans="1:13" ht="15.75" hidden="1" customHeight="1">
      <c r="A310" s="157"/>
      <c r="B310" s="158" t="str">
        <f t="shared" si="6"/>
        <v>3533101</v>
      </c>
      <c r="C310" s="177" t="s">
        <v>624</v>
      </c>
      <c r="D310" s="160" t="s">
        <v>571</v>
      </c>
      <c r="E310" s="160" t="s">
        <v>655</v>
      </c>
      <c r="F310" s="161" t="s">
        <v>176</v>
      </c>
      <c r="G310" s="162">
        <v>3</v>
      </c>
      <c r="H310" s="162"/>
      <c r="I310" s="162"/>
      <c r="J310" s="162"/>
      <c r="K310" s="175" t="s">
        <v>528</v>
      </c>
      <c r="L310" s="176"/>
      <c r="M310" s="176"/>
    </row>
    <row r="311" spans="1:13" ht="15.75" hidden="1" customHeight="1">
      <c r="A311" s="157"/>
      <c r="B311" s="202" t="str">
        <f t="shared" si="6"/>
        <v>3534000</v>
      </c>
      <c r="C311" s="203" t="s">
        <v>624</v>
      </c>
      <c r="D311" s="204" t="s">
        <v>664</v>
      </c>
      <c r="E311" s="204" t="s">
        <v>370</v>
      </c>
      <c r="F311" s="207" t="s">
        <v>177</v>
      </c>
      <c r="G311" s="184">
        <v>2</v>
      </c>
      <c r="H311" s="162" t="s">
        <v>30</v>
      </c>
      <c r="I311" s="216"/>
      <c r="J311" s="216"/>
      <c r="K311" s="175" t="s">
        <v>528</v>
      </c>
      <c r="L311" s="176"/>
      <c r="M311" s="176"/>
    </row>
    <row r="312" spans="1:13" ht="15.75" hidden="1" customHeight="1">
      <c r="A312" s="157"/>
      <c r="B312" s="158" t="str">
        <f t="shared" si="6"/>
        <v>3534101</v>
      </c>
      <c r="C312" s="177" t="s">
        <v>624</v>
      </c>
      <c r="D312" s="160" t="s">
        <v>592</v>
      </c>
      <c r="E312" s="160" t="s">
        <v>655</v>
      </c>
      <c r="F312" s="161" t="s">
        <v>177</v>
      </c>
      <c r="G312" s="162">
        <v>3</v>
      </c>
      <c r="H312" s="162"/>
      <c r="I312" s="162"/>
      <c r="J312" s="162"/>
      <c r="K312" s="175" t="s">
        <v>528</v>
      </c>
      <c r="L312" s="176"/>
      <c r="M312" s="176"/>
    </row>
    <row r="313" spans="1:13" ht="15.75" hidden="1" customHeight="1">
      <c r="A313" s="157"/>
      <c r="B313" s="170" t="str">
        <f t="shared" si="6"/>
        <v>3560000</v>
      </c>
      <c r="C313" s="171" t="s">
        <v>625</v>
      </c>
      <c r="D313" s="172" t="s">
        <v>370</v>
      </c>
      <c r="E313" s="172" t="s">
        <v>370</v>
      </c>
      <c r="F313" s="181" t="s">
        <v>178</v>
      </c>
      <c r="G313" s="178">
        <v>1</v>
      </c>
      <c r="H313" s="197" t="s">
        <v>30</v>
      </c>
      <c r="I313" s="201"/>
      <c r="J313" s="201" t="s">
        <v>832</v>
      </c>
      <c r="K313" s="175" t="s">
        <v>528</v>
      </c>
      <c r="L313" s="176"/>
      <c r="M313" s="176"/>
    </row>
    <row r="314" spans="1:13" ht="15.75" hidden="1" customHeight="1">
      <c r="A314" s="157"/>
      <c r="B314" s="202" t="str">
        <f t="shared" si="6"/>
        <v>3561000</v>
      </c>
      <c r="C314" s="203" t="s">
        <v>625</v>
      </c>
      <c r="D314" s="204" t="s">
        <v>569</v>
      </c>
      <c r="E314" s="204" t="s">
        <v>370</v>
      </c>
      <c r="F314" s="207" t="s">
        <v>178</v>
      </c>
      <c r="G314" s="184">
        <v>2</v>
      </c>
      <c r="H314" s="162" t="s">
        <v>30</v>
      </c>
      <c r="I314" s="216"/>
      <c r="J314" s="216"/>
      <c r="K314" s="175" t="s">
        <v>528</v>
      </c>
      <c r="L314" s="176"/>
      <c r="M314" s="176"/>
    </row>
    <row r="315" spans="1:13" ht="15.75" hidden="1" customHeight="1">
      <c r="A315" s="157"/>
      <c r="B315" s="158" t="str">
        <f t="shared" si="6"/>
        <v>3561101</v>
      </c>
      <c r="C315" s="177" t="s">
        <v>625</v>
      </c>
      <c r="D315" s="160" t="s">
        <v>566</v>
      </c>
      <c r="E315" s="160" t="s">
        <v>655</v>
      </c>
      <c r="F315" s="161" t="s">
        <v>178</v>
      </c>
      <c r="G315" s="162">
        <v>3</v>
      </c>
      <c r="H315" s="162"/>
      <c r="I315" s="162"/>
      <c r="J315" s="162"/>
      <c r="K315" s="175" t="s">
        <v>528</v>
      </c>
      <c r="L315" s="176"/>
      <c r="M315" s="176"/>
    </row>
    <row r="316" spans="1:13" ht="15.75" hidden="1" customHeight="1">
      <c r="A316" s="157"/>
      <c r="B316" s="202" t="str">
        <f t="shared" si="6"/>
        <v>3562000</v>
      </c>
      <c r="C316" s="203" t="s">
        <v>625</v>
      </c>
      <c r="D316" s="204" t="s">
        <v>578</v>
      </c>
      <c r="E316" s="204" t="s">
        <v>370</v>
      </c>
      <c r="F316" s="207" t="s">
        <v>179</v>
      </c>
      <c r="G316" s="184">
        <v>2</v>
      </c>
      <c r="H316" s="162" t="s">
        <v>30</v>
      </c>
      <c r="I316" s="216"/>
      <c r="J316" s="216"/>
      <c r="K316" s="175" t="s">
        <v>528</v>
      </c>
      <c r="L316" s="176"/>
      <c r="M316" s="176"/>
    </row>
    <row r="317" spans="1:13" ht="15.75" hidden="1" customHeight="1">
      <c r="A317" s="157"/>
      <c r="B317" s="158" t="str">
        <f t="shared" si="6"/>
        <v>3562101</v>
      </c>
      <c r="C317" s="177" t="s">
        <v>625</v>
      </c>
      <c r="D317" s="160" t="s">
        <v>567</v>
      </c>
      <c r="E317" s="160" t="s">
        <v>655</v>
      </c>
      <c r="F317" s="161" t="s">
        <v>179</v>
      </c>
      <c r="G317" s="162">
        <v>3</v>
      </c>
      <c r="H317" s="162"/>
      <c r="I317" s="162"/>
      <c r="J317" s="162"/>
      <c r="K317" s="175" t="s">
        <v>528</v>
      </c>
      <c r="L317" s="176"/>
      <c r="M317" s="176"/>
    </row>
    <row r="318" spans="1:13" ht="15.75" hidden="1" customHeight="1">
      <c r="A318" s="157"/>
      <c r="B318" s="170" t="str">
        <f t="shared" si="6"/>
        <v>3570000</v>
      </c>
      <c r="C318" s="171" t="s">
        <v>626</v>
      </c>
      <c r="D318" s="172" t="s">
        <v>370</v>
      </c>
      <c r="E318" s="172" t="s">
        <v>370</v>
      </c>
      <c r="F318" s="181" t="s">
        <v>180</v>
      </c>
      <c r="G318" s="178">
        <v>1</v>
      </c>
      <c r="H318" s="197" t="s">
        <v>30</v>
      </c>
      <c r="I318" s="201"/>
      <c r="J318" s="201" t="s">
        <v>833</v>
      </c>
      <c r="K318" s="175" t="s">
        <v>528</v>
      </c>
      <c r="L318" s="176"/>
      <c r="M318" s="176"/>
    </row>
    <row r="319" spans="1:13" ht="15.75" hidden="1" customHeight="1">
      <c r="A319" s="157"/>
      <c r="B319" s="202" t="str">
        <f t="shared" si="6"/>
        <v>3571000</v>
      </c>
      <c r="C319" s="203" t="s">
        <v>626</v>
      </c>
      <c r="D319" s="204" t="s">
        <v>569</v>
      </c>
      <c r="E319" s="204" t="s">
        <v>370</v>
      </c>
      <c r="F319" s="207" t="s">
        <v>180</v>
      </c>
      <c r="G319" s="184">
        <v>2</v>
      </c>
      <c r="H319" s="162" t="s">
        <v>30</v>
      </c>
      <c r="I319" s="216"/>
      <c r="J319" s="216"/>
      <c r="K319" s="175" t="s">
        <v>528</v>
      </c>
      <c r="L319" s="176"/>
      <c r="M319" s="176"/>
    </row>
    <row r="320" spans="1:13" ht="15.75" hidden="1" customHeight="1">
      <c r="A320" s="157"/>
      <c r="B320" s="158" t="str">
        <f t="shared" si="6"/>
        <v>3571101</v>
      </c>
      <c r="C320" s="177" t="s">
        <v>626</v>
      </c>
      <c r="D320" s="160" t="s">
        <v>566</v>
      </c>
      <c r="E320" s="160" t="s">
        <v>655</v>
      </c>
      <c r="F320" s="161" t="s">
        <v>180</v>
      </c>
      <c r="G320" s="162">
        <v>3</v>
      </c>
      <c r="H320" s="162"/>
      <c r="I320" s="162"/>
      <c r="J320" s="162"/>
      <c r="K320" s="175" t="s">
        <v>528</v>
      </c>
      <c r="L320" s="176"/>
      <c r="M320" s="176"/>
    </row>
    <row r="321" spans="1:14" s="279" customFormat="1" ht="15.75" hidden="1" customHeight="1">
      <c r="A321" s="269"/>
      <c r="B321" s="270" t="str">
        <f t="shared" si="6"/>
        <v>4110000</v>
      </c>
      <c r="C321" s="271" t="s">
        <v>627</v>
      </c>
      <c r="D321" s="272" t="s">
        <v>370</v>
      </c>
      <c r="E321" s="272" t="s">
        <v>370</v>
      </c>
      <c r="F321" s="273" t="s">
        <v>181</v>
      </c>
      <c r="G321" s="274">
        <v>1</v>
      </c>
      <c r="H321" s="275" t="s">
        <v>30</v>
      </c>
      <c r="I321" s="276"/>
      <c r="J321" s="276"/>
      <c r="K321" s="277" t="s">
        <v>528</v>
      </c>
      <c r="L321" s="278"/>
      <c r="M321" s="278"/>
      <c r="N321" s="324" t="s">
        <v>933</v>
      </c>
    </row>
    <row r="322" spans="1:14" s="279" customFormat="1" ht="15.75" hidden="1" customHeight="1">
      <c r="A322" s="269"/>
      <c r="B322" s="280" t="str">
        <f t="shared" si="6"/>
        <v>4111000</v>
      </c>
      <c r="C322" s="281" t="s">
        <v>627</v>
      </c>
      <c r="D322" s="282" t="s">
        <v>569</v>
      </c>
      <c r="E322" s="282" t="s">
        <v>370</v>
      </c>
      <c r="F322" s="283" t="s">
        <v>809</v>
      </c>
      <c r="G322" s="284">
        <v>2</v>
      </c>
      <c r="H322" s="285" t="s">
        <v>30</v>
      </c>
      <c r="I322" s="286"/>
      <c r="J322" s="286"/>
      <c r="K322" s="277" t="s">
        <v>528</v>
      </c>
      <c r="L322" s="278"/>
      <c r="M322" s="278"/>
      <c r="N322" s="324" t="s">
        <v>933</v>
      </c>
    </row>
    <row r="323" spans="1:14" s="279" customFormat="1" hidden="1">
      <c r="A323" s="269"/>
      <c r="B323" s="287" t="str">
        <f t="shared" si="6"/>
        <v>4111101</v>
      </c>
      <c r="C323" s="288" t="s">
        <v>627</v>
      </c>
      <c r="D323" s="289" t="s">
        <v>566</v>
      </c>
      <c r="E323" s="289" t="s">
        <v>655</v>
      </c>
      <c r="F323" s="290" t="s">
        <v>182</v>
      </c>
      <c r="G323" s="285">
        <v>3</v>
      </c>
      <c r="H323" s="285"/>
      <c r="I323" s="285"/>
      <c r="J323" s="285" t="s">
        <v>864</v>
      </c>
      <c r="K323" s="277" t="s">
        <v>528</v>
      </c>
      <c r="L323" s="278"/>
      <c r="M323" s="278"/>
      <c r="N323" s="324" t="s">
        <v>933</v>
      </c>
    </row>
    <row r="324" spans="1:14" s="279" customFormat="1" hidden="1">
      <c r="A324" s="269"/>
      <c r="B324" s="287" t="str">
        <f t="shared" si="6"/>
        <v>4111102</v>
      </c>
      <c r="C324" s="288" t="s">
        <v>627</v>
      </c>
      <c r="D324" s="289" t="s">
        <v>566</v>
      </c>
      <c r="E324" s="289" t="s">
        <v>657</v>
      </c>
      <c r="F324" s="290" t="s">
        <v>183</v>
      </c>
      <c r="G324" s="285">
        <v>3</v>
      </c>
      <c r="H324" s="285"/>
      <c r="I324" s="285"/>
      <c r="J324" s="285" t="s">
        <v>866</v>
      </c>
      <c r="K324" s="277" t="s">
        <v>528</v>
      </c>
      <c r="L324" s="278"/>
      <c r="M324" s="278"/>
      <c r="N324" s="324" t="s">
        <v>933</v>
      </c>
    </row>
    <row r="325" spans="1:14" ht="15.75" hidden="1" customHeight="1">
      <c r="A325" s="157"/>
      <c r="B325" s="202" t="str">
        <f t="shared" si="6"/>
        <v>4112000</v>
      </c>
      <c r="C325" s="203" t="s">
        <v>627</v>
      </c>
      <c r="D325" s="204" t="s">
        <v>578</v>
      </c>
      <c r="E325" s="204" t="s">
        <v>370</v>
      </c>
      <c r="F325" s="207" t="s">
        <v>184</v>
      </c>
      <c r="G325" s="184">
        <v>2</v>
      </c>
      <c r="H325" s="162" t="s">
        <v>30</v>
      </c>
      <c r="I325" s="216"/>
      <c r="J325" s="216" t="s">
        <v>867</v>
      </c>
      <c r="K325" s="175" t="s">
        <v>529</v>
      </c>
      <c r="L325" s="176"/>
      <c r="M325" s="176"/>
    </row>
    <row r="326" spans="1:14" ht="15.75" hidden="1" customHeight="1">
      <c r="A326" s="157"/>
      <c r="B326" s="158" t="str">
        <f t="shared" si="6"/>
        <v>4112101</v>
      </c>
      <c r="C326" s="177" t="s">
        <v>627</v>
      </c>
      <c r="D326" s="160" t="s">
        <v>567</v>
      </c>
      <c r="E326" s="160" t="s">
        <v>655</v>
      </c>
      <c r="F326" s="161" t="s">
        <v>184</v>
      </c>
      <c r="G326" s="162">
        <v>3</v>
      </c>
      <c r="H326" s="162"/>
      <c r="I326" s="162"/>
      <c r="J326" s="162"/>
      <c r="K326" s="175" t="s">
        <v>529</v>
      </c>
      <c r="L326" s="176"/>
      <c r="M326" s="176"/>
    </row>
    <row r="327" spans="1:14" ht="15.75" hidden="1" customHeight="1">
      <c r="A327" s="157"/>
      <c r="B327" s="202" t="str">
        <f t="shared" si="6"/>
        <v>4113000</v>
      </c>
      <c r="C327" s="203" t="s">
        <v>627</v>
      </c>
      <c r="D327" s="204" t="s">
        <v>579</v>
      </c>
      <c r="E327" s="204" t="s">
        <v>370</v>
      </c>
      <c r="F327" s="207" t="s">
        <v>185</v>
      </c>
      <c r="G327" s="184">
        <v>2</v>
      </c>
      <c r="H327" s="162" t="s">
        <v>30</v>
      </c>
      <c r="I327" s="216"/>
      <c r="J327" s="216" t="s">
        <v>868</v>
      </c>
      <c r="K327" s="175" t="s">
        <v>529</v>
      </c>
      <c r="L327" s="176"/>
      <c r="M327" s="176"/>
    </row>
    <row r="328" spans="1:14" ht="15.75" customHeight="1">
      <c r="A328" s="157"/>
      <c r="B328" s="158" t="str">
        <f t="shared" si="6"/>
        <v>4113101</v>
      </c>
      <c r="C328" s="177" t="s">
        <v>627</v>
      </c>
      <c r="D328" s="160" t="s">
        <v>571</v>
      </c>
      <c r="E328" s="160" t="s">
        <v>655</v>
      </c>
      <c r="F328" s="161" t="s">
        <v>185</v>
      </c>
      <c r="G328" s="162">
        <v>3</v>
      </c>
      <c r="H328" s="162"/>
      <c r="I328" s="162"/>
      <c r="J328" s="162"/>
      <c r="K328" s="175" t="s">
        <v>529</v>
      </c>
      <c r="L328" s="176"/>
      <c r="M328" s="176"/>
    </row>
    <row r="329" spans="1:14" ht="15.75" hidden="1" customHeight="1">
      <c r="A329" s="157"/>
      <c r="B329" s="202" t="str">
        <f t="shared" si="6"/>
        <v>4118000</v>
      </c>
      <c r="C329" s="203" t="s">
        <v>627</v>
      </c>
      <c r="D329" s="204" t="s">
        <v>660</v>
      </c>
      <c r="E329" s="204" t="s">
        <v>370</v>
      </c>
      <c r="F329" s="207" t="s">
        <v>186</v>
      </c>
      <c r="G329" s="184">
        <v>2</v>
      </c>
      <c r="H329" s="162" t="s">
        <v>30</v>
      </c>
      <c r="I329" s="216"/>
      <c r="J329" s="216" t="s">
        <v>869</v>
      </c>
      <c r="K329" s="175" t="s">
        <v>529</v>
      </c>
      <c r="L329" s="176"/>
      <c r="M329" s="176"/>
    </row>
    <row r="330" spans="1:14" ht="15.75" hidden="1" customHeight="1">
      <c r="A330" s="157"/>
      <c r="B330" s="158" t="str">
        <f t="shared" si="6"/>
        <v>4118101</v>
      </c>
      <c r="C330" s="177" t="s">
        <v>627</v>
      </c>
      <c r="D330" s="160" t="s">
        <v>586</v>
      </c>
      <c r="E330" s="160" t="s">
        <v>655</v>
      </c>
      <c r="F330" s="161" t="s">
        <v>186</v>
      </c>
      <c r="G330" s="162">
        <v>3</v>
      </c>
      <c r="H330" s="162"/>
      <c r="I330" s="162"/>
      <c r="J330" s="162"/>
      <c r="K330" s="175" t="s">
        <v>529</v>
      </c>
      <c r="L330" s="176"/>
      <c r="M330" s="176"/>
    </row>
    <row r="331" spans="1:14" ht="15.75" hidden="1" customHeight="1">
      <c r="A331" s="157"/>
      <c r="B331" s="170" t="str">
        <f t="shared" si="6"/>
        <v>4120000</v>
      </c>
      <c r="C331" s="171" t="s">
        <v>628</v>
      </c>
      <c r="D331" s="172" t="s">
        <v>370</v>
      </c>
      <c r="E331" s="172" t="s">
        <v>370</v>
      </c>
      <c r="F331" s="181" t="s">
        <v>187</v>
      </c>
      <c r="G331" s="178">
        <v>1</v>
      </c>
      <c r="H331" s="197" t="s">
        <v>30</v>
      </c>
      <c r="I331" s="201"/>
      <c r="J331" s="201" t="s">
        <v>834</v>
      </c>
      <c r="K331" s="175" t="s">
        <v>529</v>
      </c>
      <c r="L331" s="176"/>
      <c r="M331" s="176"/>
    </row>
    <row r="332" spans="1:14" ht="15.75" hidden="1" customHeight="1">
      <c r="A332" s="157"/>
      <c r="B332" s="202" t="str">
        <f t="shared" si="6"/>
        <v>4121000</v>
      </c>
      <c r="C332" s="203" t="s">
        <v>628</v>
      </c>
      <c r="D332" s="204" t="s">
        <v>569</v>
      </c>
      <c r="E332" s="204" t="s">
        <v>370</v>
      </c>
      <c r="F332" s="207" t="s">
        <v>187</v>
      </c>
      <c r="G332" s="184">
        <v>2</v>
      </c>
      <c r="H332" s="162" t="s">
        <v>30</v>
      </c>
      <c r="I332" s="216"/>
      <c r="J332" s="216"/>
      <c r="K332" s="175" t="s">
        <v>529</v>
      </c>
      <c r="L332" s="176"/>
      <c r="M332" s="176"/>
    </row>
    <row r="333" spans="1:14" ht="15.75" hidden="1" customHeight="1">
      <c r="A333" s="157"/>
      <c r="B333" s="158" t="str">
        <f t="shared" ref="B333:B396" si="7">C333&amp;D333&amp;E333</f>
        <v>4121101</v>
      </c>
      <c r="C333" s="177" t="s">
        <v>628</v>
      </c>
      <c r="D333" s="160" t="s">
        <v>566</v>
      </c>
      <c r="E333" s="160" t="s">
        <v>655</v>
      </c>
      <c r="F333" s="161" t="s">
        <v>187</v>
      </c>
      <c r="G333" s="162">
        <v>3</v>
      </c>
      <c r="H333" s="162"/>
      <c r="I333" s="162"/>
      <c r="J333" s="162"/>
      <c r="K333" s="175" t="s">
        <v>529</v>
      </c>
      <c r="L333" s="176"/>
      <c r="M333" s="176"/>
    </row>
    <row r="334" spans="1:14" ht="15.75" hidden="1" customHeight="1">
      <c r="A334" s="157"/>
      <c r="B334" s="170" t="str">
        <f t="shared" si="7"/>
        <v>4130000</v>
      </c>
      <c r="C334" s="172" t="s">
        <v>633</v>
      </c>
      <c r="D334" s="172" t="s">
        <v>370</v>
      </c>
      <c r="E334" s="172" t="s">
        <v>370</v>
      </c>
      <c r="F334" s="181" t="s">
        <v>188</v>
      </c>
      <c r="G334" s="178">
        <v>1</v>
      </c>
      <c r="H334" s="197" t="s">
        <v>30</v>
      </c>
      <c r="I334" s="201"/>
      <c r="J334" s="201" t="s">
        <v>835</v>
      </c>
      <c r="K334" s="175" t="s">
        <v>529</v>
      </c>
      <c r="L334" s="176"/>
      <c r="M334" s="176"/>
    </row>
    <row r="335" spans="1:14" ht="15.75" customHeight="1">
      <c r="A335" s="157"/>
      <c r="B335" s="202" t="str">
        <f t="shared" si="7"/>
        <v>4131000</v>
      </c>
      <c r="C335" s="204" t="s">
        <v>633</v>
      </c>
      <c r="D335" s="204" t="s">
        <v>569</v>
      </c>
      <c r="E335" s="204" t="s">
        <v>370</v>
      </c>
      <c r="F335" s="207" t="s">
        <v>188</v>
      </c>
      <c r="G335" s="184">
        <v>2</v>
      </c>
      <c r="H335" s="162" t="s">
        <v>30</v>
      </c>
      <c r="I335" s="216"/>
      <c r="J335" s="216"/>
      <c r="K335" s="175" t="s">
        <v>529</v>
      </c>
      <c r="L335" s="176"/>
      <c r="M335" s="176"/>
    </row>
    <row r="336" spans="1:14" ht="15.75" customHeight="1">
      <c r="A336" s="157"/>
      <c r="B336" s="158" t="str">
        <f t="shared" si="7"/>
        <v>4131101</v>
      </c>
      <c r="C336" s="160" t="s">
        <v>633</v>
      </c>
      <c r="D336" s="160" t="s">
        <v>566</v>
      </c>
      <c r="E336" s="160" t="s">
        <v>655</v>
      </c>
      <c r="F336" s="161" t="s">
        <v>188</v>
      </c>
      <c r="G336" s="162">
        <v>3</v>
      </c>
      <c r="H336" s="162"/>
      <c r="I336" s="162"/>
      <c r="J336" s="162"/>
      <c r="K336" s="175" t="s">
        <v>529</v>
      </c>
      <c r="L336" s="176"/>
      <c r="M336" s="176"/>
    </row>
    <row r="337" spans="1:13" ht="15.75" hidden="1" customHeight="1">
      <c r="A337" s="157"/>
      <c r="B337" s="170" t="str">
        <f t="shared" si="7"/>
        <v>4140000</v>
      </c>
      <c r="C337" s="171" t="s">
        <v>629</v>
      </c>
      <c r="D337" s="172" t="s">
        <v>370</v>
      </c>
      <c r="E337" s="172" t="s">
        <v>370</v>
      </c>
      <c r="F337" s="181" t="s">
        <v>189</v>
      </c>
      <c r="G337" s="178">
        <v>1</v>
      </c>
      <c r="H337" s="197" t="s">
        <v>30</v>
      </c>
      <c r="I337" s="201"/>
      <c r="J337" s="201" t="s">
        <v>835</v>
      </c>
      <c r="K337" s="175" t="s">
        <v>529</v>
      </c>
      <c r="L337" s="176"/>
      <c r="M337" s="176"/>
    </row>
    <row r="338" spans="1:13" ht="15.75" hidden="1" customHeight="1">
      <c r="A338" s="157"/>
      <c r="B338" s="202" t="str">
        <f t="shared" si="7"/>
        <v>4141000</v>
      </c>
      <c r="C338" s="203" t="s">
        <v>629</v>
      </c>
      <c r="D338" s="204" t="s">
        <v>569</v>
      </c>
      <c r="E338" s="204" t="s">
        <v>370</v>
      </c>
      <c r="F338" s="207" t="s">
        <v>189</v>
      </c>
      <c r="G338" s="184">
        <v>2</v>
      </c>
      <c r="H338" s="162" t="s">
        <v>30</v>
      </c>
      <c r="I338" s="216"/>
      <c r="J338" s="216"/>
      <c r="K338" s="175" t="s">
        <v>529</v>
      </c>
      <c r="L338" s="176"/>
      <c r="M338" s="176"/>
    </row>
    <row r="339" spans="1:13" ht="15.75" hidden="1" customHeight="1">
      <c r="A339" s="157"/>
      <c r="B339" s="158" t="str">
        <f t="shared" si="7"/>
        <v>4141101</v>
      </c>
      <c r="C339" s="177" t="s">
        <v>629</v>
      </c>
      <c r="D339" s="160" t="s">
        <v>566</v>
      </c>
      <c r="E339" s="160" t="s">
        <v>655</v>
      </c>
      <c r="F339" s="161" t="s">
        <v>189</v>
      </c>
      <c r="G339" s="162">
        <v>3</v>
      </c>
      <c r="H339" s="162"/>
      <c r="I339" s="162"/>
      <c r="J339" s="162"/>
      <c r="K339" s="175" t="s">
        <v>529</v>
      </c>
      <c r="L339" s="176"/>
      <c r="M339" s="176"/>
    </row>
    <row r="340" spans="1:13" ht="15.75" hidden="1" customHeight="1">
      <c r="A340" s="157"/>
      <c r="B340" s="170" t="str">
        <f t="shared" si="7"/>
        <v>4170000</v>
      </c>
      <c r="C340" s="171" t="s">
        <v>630</v>
      </c>
      <c r="D340" s="172" t="s">
        <v>370</v>
      </c>
      <c r="E340" s="172" t="s">
        <v>370</v>
      </c>
      <c r="F340" s="181" t="s">
        <v>190</v>
      </c>
      <c r="G340" s="178">
        <v>1</v>
      </c>
      <c r="H340" s="197" t="s">
        <v>30</v>
      </c>
      <c r="I340" s="201"/>
      <c r="J340" s="201" t="s">
        <v>836</v>
      </c>
      <c r="K340" s="175" t="s">
        <v>529</v>
      </c>
      <c r="L340" s="176"/>
      <c r="M340" s="176"/>
    </row>
    <row r="341" spans="1:13" ht="15.75" hidden="1" customHeight="1">
      <c r="A341" s="157"/>
      <c r="B341" s="202" t="str">
        <f t="shared" si="7"/>
        <v>4171000</v>
      </c>
      <c r="C341" s="203" t="s">
        <v>630</v>
      </c>
      <c r="D341" s="204" t="s">
        <v>569</v>
      </c>
      <c r="E341" s="204" t="s">
        <v>370</v>
      </c>
      <c r="F341" s="207" t="s">
        <v>190</v>
      </c>
      <c r="G341" s="184">
        <v>2</v>
      </c>
      <c r="H341" s="162" t="s">
        <v>30</v>
      </c>
      <c r="I341" s="216"/>
      <c r="J341" s="216"/>
      <c r="K341" s="175" t="s">
        <v>529</v>
      </c>
      <c r="L341" s="176"/>
      <c r="M341" s="176"/>
    </row>
    <row r="342" spans="1:13" ht="15.75" hidden="1" customHeight="1">
      <c r="A342" s="157"/>
      <c r="B342" s="158" t="str">
        <f t="shared" si="7"/>
        <v>4171101</v>
      </c>
      <c r="C342" s="177" t="s">
        <v>630</v>
      </c>
      <c r="D342" s="160" t="s">
        <v>566</v>
      </c>
      <c r="E342" s="160" t="s">
        <v>655</v>
      </c>
      <c r="F342" s="161" t="s">
        <v>190</v>
      </c>
      <c r="G342" s="162">
        <v>3</v>
      </c>
      <c r="H342" s="162"/>
      <c r="I342" s="162"/>
      <c r="J342" s="162"/>
      <c r="K342" s="175" t="s">
        <v>529</v>
      </c>
      <c r="L342" s="176"/>
      <c r="M342" s="176"/>
    </row>
    <row r="343" spans="1:13" ht="15.75" hidden="1" customHeight="1">
      <c r="A343" s="157"/>
      <c r="B343" s="170" t="str">
        <f t="shared" si="7"/>
        <v>4180000</v>
      </c>
      <c r="C343" s="171" t="s">
        <v>631</v>
      </c>
      <c r="D343" s="172" t="s">
        <v>370</v>
      </c>
      <c r="E343" s="172" t="s">
        <v>370</v>
      </c>
      <c r="F343" s="181" t="s">
        <v>191</v>
      </c>
      <c r="G343" s="178">
        <v>1</v>
      </c>
      <c r="H343" s="197" t="s">
        <v>30</v>
      </c>
      <c r="I343" s="201"/>
      <c r="J343" s="201" t="s">
        <v>837</v>
      </c>
      <c r="K343" s="175" t="s">
        <v>529</v>
      </c>
      <c r="L343" s="176"/>
      <c r="M343" s="176"/>
    </row>
    <row r="344" spans="1:13" ht="15.75" hidden="1" customHeight="1">
      <c r="A344" s="157"/>
      <c r="B344" s="202" t="str">
        <f t="shared" si="7"/>
        <v>4181000</v>
      </c>
      <c r="C344" s="203" t="s">
        <v>631</v>
      </c>
      <c r="D344" s="204" t="s">
        <v>569</v>
      </c>
      <c r="E344" s="204" t="s">
        <v>370</v>
      </c>
      <c r="F344" s="207" t="s">
        <v>191</v>
      </c>
      <c r="G344" s="184">
        <v>2</v>
      </c>
      <c r="H344" s="162" t="s">
        <v>30</v>
      </c>
      <c r="I344" s="216"/>
      <c r="J344" s="216"/>
      <c r="K344" s="175" t="s">
        <v>529</v>
      </c>
      <c r="L344" s="176"/>
      <c r="M344" s="176"/>
    </row>
    <row r="345" spans="1:13" ht="15.75" hidden="1" customHeight="1">
      <c r="A345" s="157"/>
      <c r="B345" s="158" t="str">
        <f t="shared" si="7"/>
        <v>4181101</v>
      </c>
      <c r="C345" s="177" t="s">
        <v>631</v>
      </c>
      <c r="D345" s="160" t="s">
        <v>566</v>
      </c>
      <c r="E345" s="160" t="s">
        <v>655</v>
      </c>
      <c r="F345" s="161" t="s">
        <v>191</v>
      </c>
      <c r="G345" s="162">
        <v>3</v>
      </c>
      <c r="H345" s="162"/>
      <c r="I345" s="162"/>
      <c r="J345" s="162"/>
      <c r="K345" s="175" t="s">
        <v>529</v>
      </c>
      <c r="L345" s="176"/>
      <c r="M345" s="176"/>
    </row>
    <row r="346" spans="1:13" ht="15.75" hidden="1" customHeight="1">
      <c r="A346" s="157"/>
      <c r="B346" s="170" t="str">
        <f t="shared" si="7"/>
        <v>4190000</v>
      </c>
      <c r="C346" s="171" t="s">
        <v>632</v>
      </c>
      <c r="D346" s="172" t="s">
        <v>370</v>
      </c>
      <c r="E346" s="172" t="s">
        <v>370</v>
      </c>
      <c r="F346" s="181" t="s">
        <v>192</v>
      </c>
      <c r="G346" s="178">
        <v>1</v>
      </c>
      <c r="H346" s="197" t="s">
        <v>30</v>
      </c>
      <c r="I346" s="201"/>
      <c r="J346" s="201" t="s">
        <v>838</v>
      </c>
      <c r="K346" s="175" t="s">
        <v>529</v>
      </c>
      <c r="L346" s="176"/>
      <c r="M346" s="176"/>
    </row>
    <row r="347" spans="1:13" ht="15.75" hidden="1" customHeight="1">
      <c r="A347" s="157"/>
      <c r="B347" s="202" t="str">
        <f t="shared" si="7"/>
        <v>4191000</v>
      </c>
      <c r="C347" s="203" t="s">
        <v>632</v>
      </c>
      <c r="D347" s="204" t="s">
        <v>569</v>
      </c>
      <c r="E347" s="204" t="s">
        <v>370</v>
      </c>
      <c r="F347" s="207" t="s">
        <v>192</v>
      </c>
      <c r="G347" s="184">
        <v>2</v>
      </c>
      <c r="H347" s="162" t="s">
        <v>30</v>
      </c>
      <c r="I347" s="216"/>
      <c r="J347" s="216"/>
      <c r="K347" s="175" t="s">
        <v>529</v>
      </c>
      <c r="L347" s="176"/>
      <c r="M347" s="176"/>
    </row>
    <row r="348" spans="1:13" ht="15.75" hidden="1" customHeight="1">
      <c r="A348" s="157"/>
      <c r="B348" s="158" t="str">
        <f t="shared" si="7"/>
        <v>4191101</v>
      </c>
      <c r="C348" s="177" t="s">
        <v>632</v>
      </c>
      <c r="D348" s="160" t="s">
        <v>566</v>
      </c>
      <c r="E348" s="160" t="s">
        <v>655</v>
      </c>
      <c r="F348" s="161" t="s">
        <v>192</v>
      </c>
      <c r="G348" s="162">
        <v>3</v>
      </c>
      <c r="H348" s="162"/>
      <c r="I348" s="162"/>
      <c r="J348" s="162"/>
      <c r="K348" s="175" t="s">
        <v>529</v>
      </c>
      <c r="L348" s="176"/>
      <c r="M348" s="176"/>
    </row>
    <row r="349" spans="1:13" hidden="1">
      <c r="A349" s="157"/>
      <c r="B349" s="170" t="str">
        <f t="shared" si="7"/>
        <v>4210000</v>
      </c>
      <c r="C349" s="171" t="s">
        <v>634</v>
      </c>
      <c r="D349" s="172" t="s">
        <v>370</v>
      </c>
      <c r="E349" s="172" t="s">
        <v>370</v>
      </c>
      <c r="F349" s="193" t="s">
        <v>193</v>
      </c>
      <c r="G349" s="178">
        <v>1</v>
      </c>
      <c r="H349" s="197" t="s">
        <v>30</v>
      </c>
      <c r="I349" s="201"/>
      <c r="J349" s="201"/>
      <c r="K349" s="175" t="s">
        <v>529</v>
      </c>
      <c r="L349" s="176"/>
      <c r="M349" s="176"/>
    </row>
    <row r="350" spans="1:13" ht="15.75" hidden="1" customHeight="1">
      <c r="A350" s="157"/>
      <c r="B350" s="202" t="str">
        <f t="shared" si="7"/>
        <v>4211000</v>
      </c>
      <c r="C350" s="203" t="s">
        <v>634</v>
      </c>
      <c r="D350" s="204" t="s">
        <v>569</v>
      </c>
      <c r="E350" s="204" t="s">
        <v>370</v>
      </c>
      <c r="F350" s="207" t="s">
        <v>194</v>
      </c>
      <c r="G350" s="184">
        <v>2</v>
      </c>
      <c r="H350" s="162" t="s">
        <v>30</v>
      </c>
      <c r="I350" s="216"/>
      <c r="J350" s="216" t="s">
        <v>865</v>
      </c>
      <c r="K350" s="175" t="s">
        <v>529</v>
      </c>
      <c r="L350" s="176"/>
      <c r="M350" s="176"/>
    </row>
    <row r="351" spans="1:13" ht="15.75" hidden="1" customHeight="1">
      <c r="A351" s="157"/>
      <c r="B351" s="158" t="str">
        <f t="shared" si="7"/>
        <v>4211101</v>
      </c>
      <c r="C351" s="177" t="s">
        <v>634</v>
      </c>
      <c r="D351" s="160" t="s">
        <v>566</v>
      </c>
      <c r="E351" s="160" t="s">
        <v>655</v>
      </c>
      <c r="F351" s="161" t="s">
        <v>194</v>
      </c>
      <c r="G351" s="162">
        <v>3</v>
      </c>
      <c r="H351" s="162"/>
      <c r="I351" s="162"/>
      <c r="J351" s="162"/>
      <c r="K351" s="175" t="s">
        <v>529</v>
      </c>
      <c r="L351" s="176"/>
      <c r="M351" s="176"/>
    </row>
    <row r="352" spans="1:13" ht="15.75" hidden="1" customHeight="1">
      <c r="A352" s="157"/>
      <c r="B352" s="202" t="str">
        <f t="shared" si="7"/>
        <v>4212000</v>
      </c>
      <c r="C352" s="203" t="s">
        <v>634</v>
      </c>
      <c r="D352" s="204" t="s">
        <v>578</v>
      </c>
      <c r="E352" s="204" t="s">
        <v>370</v>
      </c>
      <c r="F352" s="207" t="s">
        <v>195</v>
      </c>
      <c r="G352" s="184">
        <v>2</v>
      </c>
      <c r="H352" s="162" t="s">
        <v>30</v>
      </c>
      <c r="I352" s="216"/>
      <c r="J352" s="216" t="s">
        <v>870</v>
      </c>
      <c r="K352" s="175" t="s">
        <v>529</v>
      </c>
      <c r="L352" s="176"/>
      <c r="M352" s="176"/>
    </row>
    <row r="353" spans="1:13" ht="15.75" hidden="1" customHeight="1">
      <c r="A353" s="157"/>
      <c r="B353" s="158" t="str">
        <f t="shared" si="7"/>
        <v>4212101</v>
      </c>
      <c r="C353" s="177" t="s">
        <v>634</v>
      </c>
      <c r="D353" s="160" t="s">
        <v>567</v>
      </c>
      <c r="E353" s="160" t="s">
        <v>655</v>
      </c>
      <c r="F353" s="161" t="s">
        <v>195</v>
      </c>
      <c r="G353" s="162">
        <v>3</v>
      </c>
      <c r="H353" s="162"/>
      <c r="I353" s="162"/>
      <c r="J353" s="162"/>
      <c r="K353" s="175" t="s">
        <v>529</v>
      </c>
      <c r="L353" s="176"/>
      <c r="M353" s="176"/>
    </row>
    <row r="354" spans="1:13" hidden="1">
      <c r="A354" s="157"/>
      <c r="B354" s="170" t="str">
        <f t="shared" si="7"/>
        <v>4410000</v>
      </c>
      <c r="C354" s="171" t="s">
        <v>635</v>
      </c>
      <c r="D354" s="172" t="s">
        <v>370</v>
      </c>
      <c r="E354" s="172" t="s">
        <v>370</v>
      </c>
      <c r="F354" s="193" t="s">
        <v>196</v>
      </c>
      <c r="G354" s="178">
        <v>1</v>
      </c>
      <c r="H354" s="197" t="s">
        <v>30</v>
      </c>
      <c r="I354" s="201"/>
      <c r="J354" s="201" t="s">
        <v>839</v>
      </c>
      <c r="K354" s="175" t="s">
        <v>529</v>
      </c>
      <c r="L354" s="176"/>
      <c r="M354" s="176"/>
    </row>
    <row r="355" spans="1:13" ht="15.75" hidden="1" customHeight="1">
      <c r="A355" s="157"/>
      <c r="B355" s="202" t="str">
        <f t="shared" si="7"/>
        <v>4411000</v>
      </c>
      <c r="C355" s="203" t="s">
        <v>635</v>
      </c>
      <c r="D355" s="204" t="s">
        <v>569</v>
      </c>
      <c r="E355" s="204" t="s">
        <v>370</v>
      </c>
      <c r="F355" s="212" t="s">
        <v>196</v>
      </c>
      <c r="G355" s="184">
        <v>2</v>
      </c>
      <c r="H355" s="162" t="s">
        <v>30</v>
      </c>
      <c r="I355" s="216"/>
      <c r="J355" s="216"/>
      <c r="K355" s="175" t="s">
        <v>529</v>
      </c>
      <c r="L355" s="176"/>
      <c r="M355" s="176"/>
    </row>
    <row r="356" spans="1:13" ht="15.75" hidden="1" customHeight="1">
      <c r="A356" s="157"/>
      <c r="B356" s="158" t="str">
        <f t="shared" si="7"/>
        <v>4411101</v>
      </c>
      <c r="C356" s="177" t="s">
        <v>635</v>
      </c>
      <c r="D356" s="160" t="s">
        <v>566</v>
      </c>
      <c r="E356" s="160" t="s">
        <v>655</v>
      </c>
      <c r="F356" s="188" t="s">
        <v>196</v>
      </c>
      <c r="G356" s="162">
        <v>3</v>
      </c>
      <c r="H356" s="162"/>
      <c r="I356" s="162"/>
      <c r="J356" s="162"/>
      <c r="K356" s="175" t="s">
        <v>529</v>
      </c>
      <c r="L356" s="176"/>
      <c r="M356" s="176"/>
    </row>
    <row r="357" spans="1:13" ht="15.75" hidden="1" customHeight="1">
      <c r="A357" s="157"/>
      <c r="B357" s="170" t="str">
        <f t="shared" si="7"/>
        <v>5110000</v>
      </c>
      <c r="C357" s="171" t="s">
        <v>636</v>
      </c>
      <c r="D357" s="172" t="s">
        <v>370</v>
      </c>
      <c r="E357" s="172" t="s">
        <v>370</v>
      </c>
      <c r="F357" s="171" t="s">
        <v>197</v>
      </c>
      <c r="G357" s="178">
        <v>1</v>
      </c>
      <c r="H357" s="197" t="s">
        <v>30</v>
      </c>
      <c r="I357" s="201"/>
      <c r="J357" s="201"/>
      <c r="K357" s="175" t="s">
        <v>391</v>
      </c>
      <c r="L357" s="176"/>
      <c r="M357" s="176"/>
    </row>
    <row r="358" spans="1:13" ht="15.75" hidden="1" customHeight="1">
      <c r="A358" s="157"/>
      <c r="B358" s="202" t="str">
        <f t="shared" si="7"/>
        <v>5111000</v>
      </c>
      <c r="C358" s="203" t="s">
        <v>636</v>
      </c>
      <c r="D358" s="204" t="s">
        <v>569</v>
      </c>
      <c r="E358" s="204" t="s">
        <v>370</v>
      </c>
      <c r="F358" s="207" t="s">
        <v>198</v>
      </c>
      <c r="G358" s="184">
        <v>2</v>
      </c>
      <c r="H358" s="162" t="s">
        <v>30</v>
      </c>
      <c r="I358" s="216"/>
      <c r="J358" s="216"/>
      <c r="K358" s="175" t="s">
        <v>391</v>
      </c>
      <c r="L358" s="176"/>
      <c r="M358" s="176"/>
    </row>
    <row r="359" spans="1:13" ht="15.75" hidden="1" customHeight="1">
      <c r="A359" s="157"/>
      <c r="B359" s="158" t="str">
        <f t="shared" si="7"/>
        <v>5111101</v>
      </c>
      <c r="C359" s="177" t="s">
        <v>636</v>
      </c>
      <c r="D359" s="160" t="s">
        <v>566</v>
      </c>
      <c r="E359" s="160" t="s">
        <v>655</v>
      </c>
      <c r="F359" s="161" t="s">
        <v>198</v>
      </c>
      <c r="G359" s="162">
        <v>3</v>
      </c>
      <c r="H359" s="162"/>
      <c r="I359" s="162"/>
      <c r="J359" s="162"/>
      <c r="K359" s="175" t="s">
        <v>391</v>
      </c>
      <c r="L359" s="176"/>
      <c r="M359" s="176"/>
    </row>
    <row r="360" spans="1:13" ht="15.75" hidden="1" customHeight="1">
      <c r="A360" s="157"/>
      <c r="B360" s="202" t="str">
        <f t="shared" si="7"/>
        <v>5112000</v>
      </c>
      <c r="C360" s="203" t="s">
        <v>636</v>
      </c>
      <c r="D360" s="204" t="s">
        <v>578</v>
      </c>
      <c r="E360" s="204" t="s">
        <v>370</v>
      </c>
      <c r="F360" s="207" t="s">
        <v>199</v>
      </c>
      <c r="G360" s="184">
        <v>2</v>
      </c>
      <c r="H360" s="162" t="s">
        <v>30</v>
      </c>
      <c r="I360" s="216"/>
      <c r="J360" s="216"/>
      <c r="K360" s="175" t="s">
        <v>391</v>
      </c>
      <c r="L360" s="176"/>
      <c r="M360" s="176"/>
    </row>
    <row r="361" spans="1:13" ht="15.75" hidden="1" customHeight="1">
      <c r="A361" s="157"/>
      <c r="B361" s="158" t="str">
        <f t="shared" si="7"/>
        <v>5112101</v>
      </c>
      <c r="C361" s="177" t="s">
        <v>636</v>
      </c>
      <c r="D361" s="160" t="s">
        <v>567</v>
      </c>
      <c r="E361" s="160" t="s">
        <v>655</v>
      </c>
      <c r="F361" s="161" t="s">
        <v>199</v>
      </c>
      <c r="G361" s="162">
        <v>3</v>
      </c>
      <c r="H361" s="162"/>
      <c r="I361" s="162"/>
      <c r="J361" s="162"/>
      <c r="K361" s="175" t="s">
        <v>391</v>
      </c>
      <c r="L361" s="176"/>
      <c r="M361" s="176"/>
    </row>
    <row r="362" spans="1:13" ht="15.75" hidden="1" customHeight="1">
      <c r="A362" s="157"/>
      <c r="B362" s="202" t="str">
        <f t="shared" si="7"/>
        <v>5113000</v>
      </c>
      <c r="C362" s="203" t="s">
        <v>636</v>
      </c>
      <c r="D362" s="204" t="s">
        <v>579</v>
      </c>
      <c r="E362" s="204" t="s">
        <v>370</v>
      </c>
      <c r="F362" s="207" t="s">
        <v>200</v>
      </c>
      <c r="G362" s="184">
        <v>2</v>
      </c>
      <c r="H362" s="162" t="s">
        <v>30</v>
      </c>
      <c r="I362" s="216"/>
      <c r="J362" s="216"/>
      <c r="K362" s="175" t="s">
        <v>391</v>
      </c>
      <c r="L362" s="176"/>
      <c r="M362" s="176"/>
    </row>
    <row r="363" spans="1:13" ht="15.75" customHeight="1">
      <c r="A363" s="157"/>
      <c r="B363" s="158" t="str">
        <f t="shared" si="7"/>
        <v>5113101</v>
      </c>
      <c r="C363" s="177" t="s">
        <v>636</v>
      </c>
      <c r="D363" s="160" t="s">
        <v>571</v>
      </c>
      <c r="E363" s="160" t="s">
        <v>655</v>
      </c>
      <c r="F363" s="161" t="s">
        <v>200</v>
      </c>
      <c r="G363" s="162">
        <v>3</v>
      </c>
      <c r="H363" s="162"/>
      <c r="I363" s="162"/>
      <c r="J363" s="162"/>
      <c r="K363" s="175" t="s">
        <v>391</v>
      </c>
      <c r="L363" s="176"/>
      <c r="M363" s="176"/>
    </row>
    <row r="364" spans="1:13" ht="15.75" hidden="1" customHeight="1">
      <c r="A364" s="157"/>
      <c r="B364" s="202" t="str">
        <f t="shared" si="7"/>
        <v>5114000</v>
      </c>
      <c r="C364" s="203" t="s">
        <v>636</v>
      </c>
      <c r="D364" s="204" t="s">
        <v>664</v>
      </c>
      <c r="E364" s="204" t="s">
        <v>370</v>
      </c>
      <c r="F364" s="207" t="s">
        <v>201</v>
      </c>
      <c r="G364" s="184">
        <v>2</v>
      </c>
      <c r="H364" s="162" t="s">
        <v>30</v>
      </c>
      <c r="I364" s="216"/>
      <c r="J364" s="216"/>
      <c r="K364" s="175" t="s">
        <v>391</v>
      </c>
      <c r="L364" s="176"/>
      <c r="M364" s="176"/>
    </row>
    <row r="365" spans="1:13" ht="15.75" hidden="1" customHeight="1">
      <c r="A365" s="157"/>
      <c r="B365" s="158" t="str">
        <f t="shared" si="7"/>
        <v>5114101</v>
      </c>
      <c r="C365" s="177" t="s">
        <v>636</v>
      </c>
      <c r="D365" s="160" t="s">
        <v>592</v>
      </c>
      <c r="E365" s="160" t="s">
        <v>655</v>
      </c>
      <c r="F365" s="161" t="s">
        <v>201</v>
      </c>
      <c r="G365" s="162">
        <v>3</v>
      </c>
      <c r="H365" s="162"/>
      <c r="I365" s="162"/>
      <c r="J365" s="162"/>
      <c r="K365" s="175" t="s">
        <v>391</v>
      </c>
      <c r="L365" s="176"/>
      <c r="M365" s="176"/>
    </row>
    <row r="366" spans="1:13" ht="15.75" hidden="1" customHeight="1">
      <c r="A366" s="157"/>
      <c r="B366" s="202" t="str">
        <f t="shared" si="7"/>
        <v>5117000</v>
      </c>
      <c r="C366" s="203" t="s">
        <v>636</v>
      </c>
      <c r="D366" s="204" t="s">
        <v>668</v>
      </c>
      <c r="E366" s="204" t="s">
        <v>370</v>
      </c>
      <c r="F366" s="207" t="s">
        <v>202</v>
      </c>
      <c r="G366" s="184">
        <v>2</v>
      </c>
      <c r="H366" s="162" t="s">
        <v>30</v>
      </c>
      <c r="I366" s="216"/>
      <c r="J366" s="216"/>
      <c r="K366" s="175" t="s">
        <v>391</v>
      </c>
      <c r="L366" s="176"/>
      <c r="M366" s="176"/>
    </row>
    <row r="367" spans="1:13" ht="15.75" hidden="1" customHeight="1">
      <c r="A367" s="157"/>
      <c r="B367" s="158" t="str">
        <f t="shared" si="7"/>
        <v>5117101</v>
      </c>
      <c r="C367" s="177" t="s">
        <v>636</v>
      </c>
      <c r="D367" s="160" t="s">
        <v>601</v>
      </c>
      <c r="E367" s="160" t="s">
        <v>655</v>
      </c>
      <c r="F367" s="161" t="s">
        <v>202</v>
      </c>
      <c r="G367" s="162">
        <v>3</v>
      </c>
      <c r="H367" s="162"/>
      <c r="I367" s="162"/>
      <c r="J367" s="162"/>
      <c r="K367" s="175" t="s">
        <v>391</v>
      </c>
      <c r="L367" s="176"/>
      <c r="M367" s="176"/>
    </row>
    <row r="368" spans="1:13" ht="15.75" hidden="1" customHeight="1">
      <c r="A368" s="157"/>
      <c r="B368" s="202" t="str">
        <f t="shared" si="7"/>
        <v>5118000</v>
      </c>
      <c r="C368" s="203" t="s">
        <v>636</v>
      </c>
      <c r="D368" s="204" t="s">
        <v>660</v>
      </c>
      <c r="E368" s="204" t="s">
        <v>370</v>
      </c>
      <c r="F368" s="207" t="s">
        <v>203</v>
      </c>
      <c r="G368" s="184">
        <v>2</v>
      </c>
      <c r="H368" s="162" t="s">
        <v>30</v>
      </c>
      <c r="I368" s="216"/>
      <c r="J368" s="216"/>
      <c r="K368" s="175" t="s">
        <v>391</v>
      </c>
      <c r="L368" s="176"/>
      <c r="M368" s="176"/>
    </row>
    <row r="369" spans="1:13" ht="15.75" hidden="1" customHeight="1">
      <c r="A369" s="157"/>
      <c r="B369" s="158" t="str">
        <f t="shared" si="7"/>
        <v>5118101</v>
      </c>
      <c r="C369" s="177" t="s">
        <v>636</v>
      </c>
      <c r="D369" s="160" t="s">
        <v>586</v>
      </c>
      <c r="E369" s="160" t="s">
        <v>655</v>
      </c>
      <c r="F369" s="161" t="s">
        <v>204</v>
      </c>
      <c r="G369" s="162">
        <v>3</v>
      </c>
      <c r="H369" s="162"/>
      <c r="I369" s="162"/>
      <c r="J369" s="162"/>
      <c r="K369" s="175" t="s">
        <v>391</v>
      </c>
      <c r="L369" s="176"/>
      <c r="M369" s="176"/>
    </row>
    <row r="370" spans="1:13" ht="15.75" hidden="1" customHeight="1">
      <c r="A370" s="157"/>
      <c r="B370" s="170" t="str">
        <f t="shared" si="7"/>
        <v>5150000</v>
      </c>
      <c r="C370" s="171" t="s">
        <v>637</v>
      </c>
      <c r="D370" s="172" t="s">
        <v>370</v>
      </c>
      <c r="E370" s="172" t="s">
        <v>370</v>
      </c>
      <c r="F370" s="181" t="s">
        <v>205</v>
      </c>
      <c r="G370" s="178">
        <v>1</v>
      </c>
      <c r="H370" s="197" t="s">
        <v>30</v>
      </c>
      <c r="I370" s="201"/>
      <c r="J370" s="201"/>
      <c r="K370" s="175" t="s">
        <v>391</v>
      </c>
      <c r="L370" s="176"/>
      <c r="M370" s="176"/>
    </row>
    <row r="371" spans="1:13" ht="15.75" hidden="1" customHeight="1">
      <c r="A371" s="157"/>
      <c r="B371" s="202" t="str">
        <f t="shared" si="7"/>
        <v>5151000</v>
      </c>
      <c r="C371" s="203" t="s">
        <v>637</v>
      </c>
      <c r="D371" s="204" t="s">
        <v>569</v>
      </c>
      <c r="E371" s="204" t="s">
        <v>370</v>
      </c>
      <c r="F371" s="207" t="s">
        <v>206</v>
      </c>
      <c r="G371" s="184">
        <v>2</v>
      </c>
      <c r="H371" s="162" t="s">
        <v>30</v>
      </c>
      <c r="I371" s="216"/>
      <c r="J371" s="216"/>
      <c r="K371" s="175" t="s">
        <v>391</v>
      </c>
      <c r="L371" s="176"/>
      <c r="M371" s="176"/>
    </row>
    <row r="372" spans="1:13" ht="15.75" hidden="1" customHeight="1">
      <c r="A372" s="157"/>
      <c r="B372" s="158" t="str">
        <f t="shared" si="7"/>
        <v>5151101</v>
      </c>
      <c r="C372" s="177" t="s">
        <v>637</v>
      </c>
      <c r="D372" s="160" t="s">
        <v>566</v>
      </c>
      <c r="E372" s="160" t="s">
        <v>655</v>
      </c>
      <c r="F372" s="161" t="s">
        <v>206</v>
      </c>
      <c r="G372" s="162">
        <v>3</v>
      </c>
      <c r="H372" s="162"/>
      <c r="I372" s="162"/>
      <c r="J372" s="162"/>
      <c r="K372" s="175" t="s">
        <v>391</v>
      </c>
      <c r="L372" s="176"/>
      <c r="M372" s="176"/>
    </row>
    <row r="373" spans="1:13" ht="15.75" hidden="1" customHeight="1">
      <c r="A373" s="157"/>
      <c r="B373" s="202" t="str">
        <f t="shared" si="7"/>
        <v>5152000</v>
      </c>
      <c r="C373" s="203" t="s">
        <v>637</v>
      </c>
      <c r="D373" s="204" t="s">
        <v>578</v>
      </c>
      <c r="E373" s="204" t="s">
        <v>370</v>
      </c>
      <c r="F373" s="207" t="s">
        <v>207</v>
      </c>
      <c r="G373" s="184">
        <v>2</v>
      </c>
      <c r="H373" s="162" t="s">
        <v>30</v>
      </c>
      <c r="I373" s="216"/>
      <c r="J373" s="216"/>
      <c r="K373" s="175" t="s">
        <v>391</v>
      </c>
      <c r="L373" s="176"/>
      <c r="M373" s="176"/>
    </row>
    <row r="374" spans="1:13" ht="15.75" hidden="1" customHeight="1">
      <c r="A374" s="157"/>
      <c r="B374" s="158" t="str">
        <f t="shared" si="7"/>
        <v>5152101</v>
      </c>
      <c r="C374" s="177" t="s">
        <v>637</v>
      </c>
      <c r="D374" s="160" t="s">
        <v>567</v>
      </c>
      <c r="E374" s="160" t="s">
        <v>655</v>
      </c>
      <c r="F374" s="161" t="s">
        <v>441</v>
      </c>
      <c r="G374" s="162">
        <v>3</v>
      </c>
      <c r="H374" s="162"/>
      <c r="I374" s="162"/>
      <c r="J374" s="162"/>
      <c r="K374" s="175" t="s">
        <v>391</v>
      </c>
      <c r="L374" s="176"/>
      <c r="M374" s="176"/>
    </row>
    <row r="375" spans="1:13" ht="15.75" hidden="1" customHeight="1">
      <c r="A375" s="157"/>
      <c r="B375" s="158" t="str">
        <f t="shared" si="7"/>
        <v>5152102</v>
      </c>
      <c r="C375" s="177" t="s">
        <v>637</v>
      </c>
      <c r="D375" s="160" t="s">
        <v>567</v>
      </c>
      <c r="E375" s="160" t="s">
        <v>657</v>
      </c>
      <c r="F375" s="161" t="s">
        <v>442</v>
      </c>
      <c r="G375" s="162">
        <v>3</v>
      </c>
      <c r="H375" s="186"/>
      <c r="I375" s="162"/>
      <c r="J375" s="162"/>
      <c r="K375" s="175" t="s">
        <v>391</v>
      </c>
      <c r="L375" s="176"/>
      <c r="M375" s="176"/>
    </row>
    <row r="376" spans="1:13" ht="15.75" hidden="1" customHeight="1">
      <c r="A376" s="157"/>
      <c r="B376" s="202" t="str">
        <f t="shared" si="7"/>
        <v>5153000</v>
      </c>
      <c r="C376" s="203" t="s">
        <v>637</v>
      </c>
      <c r="D376" s="204" t="s">
        <v>579</v>
      </c>
      <c r="E376" s="204" t="s">
        <v>370</v>
      </c>
      <c r="F376" s="228" t="s">
        <v>781</v>
      </c>
      <c r="G376" s="184">
        <v>2</v>
      </c>
      <c r="H376" s="162" t="s">
        <v>30</v>
      </c>
      <c r="I376" s="216"/>
      <c r="J376" s="216"/>
      <c r="K376" s="175" t="s">
        <v>391</v>
      </c>
      <c r="L376" s="176"/>
      <c r="M376" s="176"/>
    </row>
    <row r="377" spans="1:13" ht="15.75" hidden="1" customHeight="1">
      <c r="A377" s="157"/>
      <c r="B377" s="158" t="str">
        <f t="shared" si="7"/>
        <v>5153101</v>
      </c>
      <c r="C377" s="177" t="s">
        <v>637</v>
      </c>
      <c r="D377" s="160" t="s">
        <v>571</v>
      </c>
      <c r="E377" s="160" t="s">
        <v>655</v>
      </c>
      <c r="F377" s="234" t="s">
        <v>781</v>
      </c>
      <c r="G377" s="162">
        <v>3</v>
      </c>
      <c r="H377" s="162"/>
      <c r="I377" s="162"/>
      <c r="J377" s="162"/>
      <c r="K377" s="175" t="s">
        <v>391</v>
      </c>
      <c r="L377" s="176"/>
      <c r="M377" s="176"/>
    </row>
    <row r="378" spans="1:13" ht="15.75" hidden="1" customHeight="1">
      <c r="A378" s="157"/>
      <c r="B378" s="202" t="str">
        <f t="shared" si="7"/>
        <v>5158000</v>
      </c>
      <c r="C378" s="203" t="s">
        <v>637</v>
      </c>
      <c r="D378" s="204" t="s">
        <v>660</v>
      </c>
      <c r="E378" s="204" t="s">
        <v>370</v>
      </c>
      <c r="F378" s="207" t="s">
        <v>786</v>
      </c>
      <c r="G378" s="184">
        <v>2</v>
      </c>
      <c r="H378" s="162" t="s">
        <v>30</v>
      </c>
      <c r="I378" s="216"/>
      <c r="J378" s="216"/>
      <c r="K378" s="175" t="s">
        <v>391</v>
      </c>
      <c r="L378" s="176"/>
      <c r="M378" s="176"/>
    </row>
    <row r="379" spans="1:13" ht="15.75" hidden="1" customHeight="1">
      <c r="A379" s="157"/>
      <c r="B379" s="158" t="str">
        <f t="shared" si="7"/>
        <v>5158101</v>
      </c>
      <c r="C379" s="177" t="s">
        <v>637</v>
      </c>
      <c r="D379" s="160" t="s">
        <v>586</v>
      </c>
      <c r="E379" s="160" t="s">
        <v>655</v>
      </c>
      <c r="F379" s="161" t="s">
        <v>786</v>
      </c>
      <c r="G379" s="162">
        <v>3</v>
      </c>
      <c r="H379" s="162"/>
      <c r="I379" s="162"/>
      <c r="J379" s="162"/>
      <c r="K379" s="175" t="s">
        <v>391</v>
      </c>
      <c r="L379" s="176"/>
      <c r="M379" s="176"/>
    </row>
    <row r="380" spans="1:13" ht="15.75" hidden="1" customHeight="1">
      <c r="A380" s="157"/>
      <c r="B380" s="170" t="str">
        <f t="shared" si="7"/>
        <v>5210000</v>
      </c>
      <c r="C380" s="171" t="s">
        <v>638</v>
      </c>
      <c r="D380" s="172" t="s">
        <v>370</v>
      </c>
      <c r="E380" s="172" t="s">
        <v>370</v>
      </c>
      <c r="F380" s="181" t="s">
        <v>208</v>
      </c>
      <c r="G380" s="178">
        <v>1</v>
      </c>
      <c r="H380" s="197" t="s">
        <v>30</v>
      </c>
      <c r="I380" s="201"/>
      <c r="J380" s="201"/>
      <c r="K380" s="175" t="s">
        <v>391</v>
      </c>
      <c r="L380" s="176"/>
      <c r="M380" s="176"/>
    </row>
    <row r="381" spans="1:13" ht="15.75" hidden="1" customHeight="1">
      <c r="A381" s="157"/>
      <c r="B381" s="202" t="str">
        <f t="shared" si="7"/>
        <v>5211000</v>
      </c>
      <c r="C381" s="203" t="s">
        <v>638</v>
      </c>
      <c r="D381" s="204" t="s">
        <v>569</v>
      </c>
      <c r="E381" s="204" t="s">
        <v>370</v>
      </c>
      <c r="F381" s="207" t="s">
        <v>209</v>
      </c>
      <c r="G381" s="184">
        <v>2</v>
      </c>
      <c r="H381" s="162" t="s">
        <v>30</v>
      </c>
      <c r="I381" s="216"/>
      <c r="J381" s="216"/>
      <c r="K381" s="175" t="s">
        <v>391</v>
      </c>
      <c r="L381" s="176"/>
      <c r="M381" s="176"/>
    </row>
    <row r="382" spans="1:13" ht="15.75" hidden="1" customHeight="1">
      <c r="A382" s="157"/>
      <c r="B382" s="158" t="str">
        <f t="shared" si="7"/>
        <v>5211101</v>
      </c>
      <c r="C382" s="177" t="s">
        <v>638</v>
      </c>
      <c r="D382" s="160" t="s">
        <v>566</v>
      </c>
      <c r="E382" s="160" t="s">
        <v>655</v>
      </c>
      <c r="F382" s="161" t="s">
        <v>209</v>
      </c>
      <c r="G382" s="162">
        <v>3</v>
      </c>
      <c r="H382" s="162"/>
      <c r="I382" s="162"/>
      <c r="J382" s="162"/>
      <c r="K382" s="175" t="s">
        <v>391</v>
      </c>
      <c r="L382" s="176"/>
      <c r="M382" s="176"/>
    </row>
    <row r="383" spans="1:13" ht="15.75" hidden="1" customHeight="1">
      <c r="A383" s="157"/>
      <c r="B383" s="202" t="str">
        <f t="shared" si="7"/>
        <v>5212000</v>
      </c>
      <c r="C383" s="203" t="s">
        <v>638</v>
      </c>
      <c r="D383" s="204" t="s">
        <v>578</v>
      </c>
      <c r="E383" s="204" t="s">
        <v>370</v>
      </c>
      <c r="F383" s="207" t="s">
        <v>210</v>
      </c>
      <c r="G383" s="184">
        <v>2</v>
      </c>
      <c r="H383" s="162" t="s">
        <v>30</v>
      </c>
      <c r="I383" s="216"/>
      <c r="J383" s="216"/>
      <c r="K383" s="175" t="s">
        <v>391</v>
      </c>
      <c r="L383" s="176"/>
      <c r="M383" s="176"/>
    </row>
    <row r="384" spans="1:13" ht="15.75" hidden="1" customHeight="1">
      <c r="A384" s="157"/>
      <c r="B384" s="158" t="str">
        <f t="shared" si="7"/>
        <v>5212101</v>
      </c>
      <c r="C384" s="177" t="s">
        <v>638</v>
      </c>
      <c r="D384" s="160" t="s">
        <v>567</v>
      </c>
      <c r="E384" s="160" t="s">
        <v>655</v>
      </c>
      <c r="F384" s="161" t="s">
        <v>210</v>
      </c>
      <c r="G384" s="162">
        <v>3</v>
      </c>
      <c r="H384" s="162"/>
      <c r="I384" s="162"/>
      <c r="J384" s="162"/>
      <c r="K384" s="175" t="s">
        <v>391</v>
      </c>
      <c r="L384" s="176"/>
      <c r="M384" s="176"/>
    </row>
    <row r="385" spans="1:13" ht="15.75" hidden="1" customHeight="1">
      <c r="A385" s="157"/>
      <c r="B385" s="202" t="str">
        <f t="shared" si="7"/>
        <v>5213000</v>
      </c>
      <c r="C385" s="203" t="s">
        <v>638</v>
      </c>
      <c r="D385" s="204" t="s">
        <v>579</v>
      </c>
      <c r="E385" s="204" t="s">
        <v>370</v>
      </c>
      <c r="F385" s="207" t="s">
        <v>211</v>
      </c>
      <c r="G385" s="184">
        <v>2</v>
      </c>
      <c r="H385" s="162" t="s">
        <v>30</v>
      </c>
      <c r="I385" s="216"/>
      <c r="J385" s="216"/>
      <c r="K385" s="175" t="s">
        <v>391</v>
      </c>
      <c r="L385" s="176"/>
      <c r="M385" s="176"/>
    </row>
    <row r="386" spans="1:13" ht="15.75" customHeight="1">
      <c r="A386" s="157"/>
      <c r="B386" s="158" t="str">
        <f t="shared" si="7"/>
        <v>5213101</v>
      </c>
      <c r="C386" s="177" t="s">
        <v>638</v>
      </c>
      <c r="D386" s="160" t="s">
        <v>571</v>
      </c>
      <c r="E386" s="160" t="s">
        <v>655</v>
      </c>
      <c r="F386" s="161" t="s">
        <v>211</v>
      </c>
      <c r="G386" s="162">
        <v>3</v>
      </c>
      <c r="H386" s="162"/>
      <c r="I386" s="162"/>
      <c r="J386" s="162"/>
      <c r="K386" s="175" t="s">
        <v>391</v>
      </c>
      <c r="L386" s="176"/>
      <c r="M386" s="176"/>
    </row>
    <row r="387" spans="1:13" ht="15.75" hidden="1" customHeight="1">
      <c r="A387" s="157"/>
      <c r="B387" s="170" t="str">
        <f t="shared" si="7"/>
        <v>6210000</v>
      </c>
      <c r="C387" s="171" t="s">
        <v>639</v>
      </c>
      <c r="D387" s="172" t="s">
        <v>370</v>
      </c>
      <c r="E387" s="172" t="s">
        <v>370</v>
      </c>
      <c r="F387" s="171" t="s">
        <v>212</v>
      </c>
      <c r="G387" s="178">
        <v>1</v>
      </c>
      <c r="H387" s="197" t="s">
        <v>30</v>
      </c>
      <c r="I387" s="201"/>
      <c r="J387" s="201"/>
      <c r="K387" s="175" t="s">
        <v>391</v>
      </c>
      <c r="L387" s="176"/>
      <c r="M387" s="176"/>
    </row>
    <row r="388" spans="1:13" ht="15.75" hidden="1" customHeight="1">
      <c r="A388" s="157"/>
      <c r="B388" s="202" t="str">
        <f t="shared" si="7"/>
        <v>6211000</v>
      </c>
      <c r="C388" s="203" t="s">
        <v>639</v>
      </c>
      <c r="D388" s="204" t="s">
        <v>569</v>
      </c>
      <c r="E388" s="204" t="s">
        <v>370</v>
      </c>
      <c r="F388" s="203" t="s">
        <v>212</v>
      </c>
      <c r="G388" s="184">
        <v>2</v>
      </c>
      <c r="H388" s="162" t="s">
        <v>30</v>
      </c>
      <c r="I388" s="216"/>
      <c r="J388" s="216"/>
      <c r="K388" s="177" t="s">
        <v>530</v>
      </c>
      <c r="L388" s="176"/>
      <c r="M388" s="176"/>
    </row>
    <row r="389" spans="1:13" ht="15.75" hidden="1" customHeight="1">
      <c r="A389" s="157"/>
      <c r="B389" s="158" t="str">
        <f t="shared" si="7"/>
        <v>6211101</v>
      </c>
      <c r="C389" s="177" t="s">
        <v>639</v>
      </c>
      <c r="D389" s="160" t="s">
        <v>566</v>
      </c>
      <c r="E389" s="160" t="s">
        <v>655</v>
      </c>
      <c r="F389" s="177" t="s">
        <v>212</v>
      </c>
      <c r="G389" s="162">
        <v>3</v>
      </c>
      <c r="H389" s="162"/>
      <c r="I389" s="162"/>
      <c r="J389" s="162"/>
      <c r="K389" s="177" t="s">
        <v>530</v>
      </c>
      <c r="L389" s="176"/>
      <c r="M389" s="176"/>
    </row>
    <row r="390" spans="1:13" ht="15.75" hidden="1" customHeight="1">
      <c r="A390" s="157"/>
      <c r="B390" s="170" t="str">
        <f t="shared" si="7"/>
        <v>6220000</v>
      </c>
      <c r="C390" s="172" t="s">
        <v>640</v>
      </c>
      <c r="D390" s="172" t="s">
        <v>370</v>
      </c>
      <c r="E390" s="172" t="s">
        <v>370</v>
      </c>
      <c r="F390" s="171" t="s">
        <v>213</v>
      </c>
      <c r="G390" s="178">
        <v>1</v>
      </c>
      <c r="H390" s="197" t="s">
        <v>30</v>
      </c>
      <c r="I390" s="201"/>
      <c r="J390" s="201"/>
      <c r="K390" s="177" t="s">
        <v>530</v>
      </c>
      <c r="L390" s="176"/>
      <c r="M390" s="176"/>
    </row>
    <row r="391" spans="1:13" ht="15.75" hidden="1" customHeight="1">
      <c r="A391" s="157"/>
      <c r="B391" s="202" t="str">
        <f t="shared" si="7"/>
        <v>6221000</v>
      </c>
      <c r="C391" s="204" t="s">
        <v>640</v>
      </c>
      <c r="D391" s="204" t="s">
        <v>569</v>
      </c>
      <c r="E391" s="204" t="s">
        <v>370</v>
      </c>
      <c r="F391" s="203" t="s">
        <v>213</v>
      </c>
      <c r="G391" s="184">
        <v>2</v>
      </c>
      <c r="H391" s="162" t="s">
        <v>30</v>
      </c>
      <c r="I391" s="216"/>
      <c r="J391" s="216"/>
      <c r="K391" s="177" t="s">
        <v>530</v>
      </c>
      <c r="L391" s="176"/>
      <c r="M391" s="176"/>
    </row>
    <row r="392" spans="1:13" ht="15.75" hidden="1" customHeight="1">
      <c r="A392" s="157"/>
      <c r="B392" s="158" t="str">
        <f t="shared" si="7"/>
        <v>6221101</v>
      </c>
      <c r="C392" s="160" t="s">
        <v>640</v>
      </c>
      <c r="D392" s="160" t="s">
        <v>566</v>
      </c>
      <c r="E392" s="160" t="s">
        <v>655</v>
      </c>
      <c r="F392" s="177" t="s">
        <v>213</v>
      </c>
      <c r="G392" s="162">
        <v>3</v>
      </c>
      <c r="H392" s="162"/>
      <c r="I392" s="162"/>
      <c r="J392" s="162"/>
      <c r="K392" s="177" t="s">
        <v>530</v>
      </c>
      <c r="L392" s="176"/>
      <c r="M392" s="176"/>
    </row>
    <row r="393" spans="1:13" ht="15.75" hidden="1" customHeight="1">
      <c r="A393" s="157"/>
      <c r="B393" s="170" t="str">
        <f t="shared" si="7"/>
        <v>6270000</v>
      </c>
      <c r="C393" s="171" t="s">
        <v>641</v>
      </c>
      <c r="D393" s="172" t="s">
        <v>370</v>
      </c>
      <c r="E393" s="172" t="s">
        <v>370</v>
      </c>
      <c r="F393" s="171" t="s">
        <v>214</v>
      </c>
      <c r="G393" s="178">
        <v>1</v>
      </c>
      <c r="H393" s="197" t="s">
        <v>30</v>
      </c>
      <c r="I393" s="201"/>
      <c r="J393" s="201"/>
      <c r="K393" s="177" t="s">
        <v>530</v>
      </c>
      <c r="L393" s="176"/>
      <c r="M393" s="176"/>
    </row>
    <row r="394" spans="1:13" ht="15.75" hidden="1" customHeight="1">
      <c r="A394" s="157"/>
      <c r="B394" s="202" t="str">
        <f t="shared" si="7"/>
        <v>6271000</v>
      </c>
      <c r="C394" s="203" t="s">
        <v>641</v>
      </c>
      <c r="D394" s="204" t="s">
        <v>569</v>
      </c>
      <c r="E394" s="204" t="s">
        <v>370</v>
      </c>
      <c r="F394" s="207" t="s">
        <v>215</v>
      </c>
      <c r="G394" s="184">
        <v>2</v>
      </c>
      <c r="H394" s="162" t="s">
        <v>30</v>
      </c>
      <c r="I394" s="216"/>
      <c r="J394" s="216"/>
      <c r="K394" s="177" t="s">
        <v>530</v>
      </c>
      <c r="L394" s="176"/>
      <c r="M394" s="176"/>
    </row>
    <row r="395" spans="1:13" ht="15.75" hidden="1" customHeight="1">
      <c r="A395" s="157"/>
      <c r="B395" s="158" t="str">
        <f t="shared" si="7"/>
        <v>6271101</v>
      </c>
      <c r="C395" s="177" t="s">
        <v>641</v>
      </c>
      <c r="D395" s="160" t="s">
        <v>566</v>
      </c>
      <c r="E395" s="160" t="s">
        <v>655</v>
      </c>
      <c r="F395" s="161" t="s">
        <v>215</v>
      </c>
      <c r="G395" s="162">
        <v>3</v>
      </c>
      <c r="H395" s="162"/>
      <c r="I395" s="162"/>
      <c r="J395" s="162"/>
      <c r="K395" s="177" t="s">
        <v>530</v>
      </c>
      <c r="L395" s="176"/>
      <c r="M395" s="176"/>
    </row>
    <row r="396" spans="1:13" ht="15.75" hidden="1" customHeight="1">
      <c r="A396" s="157"/>
      <c r="B396" s="202" t="str">
        <f t="shared" si="7"/>
        <v>6272000</v>
      </c>
      <c r="C396" s="203" t="s">
        <v>641</v>
      </c>
      <c r="D396" s="204" t="s">
        <v>578</v>
      </c>
      <c r="E396" s="204" t="s">
        <v>370</v>
      </c>
      <c r="F396" s="207" t="s">
        <v>216</v>
      </c>
      <c r="G396" s="184">
        <v>2</v>
      </c>
      <c r="H396" s="162" t="s">
        <v>30</v>
      </c>
      <c r="I396" s="216"/>
      <c r="J396" s="216"/>
      <c r="K396" s="177" t="s">
        <v>530</v>
      </c>
      <c r="L396" s="176"/>
      <c r="M396" s="176"/>
    </row>
    <row r="397" spans="1:13" ht="15.75" hidden="1" customHeight="1">
      <c r="A397" s="157"/>
      <c r="B397" s="158" t="str">
        <f t="shared" ref="B397:B458" si="8">C397&amp;D397&amp;E397</f>
        <v>6272101</v>
      </c>
      <c r="C397" s="177" t="s">
        <v>641</v>
      </c>
      <c r="D397" s="160" t="s">
        <v>567</v>
      </c>
      <c r="E397" s="160" t="s">
        <v>655</v>
      </c>
      <c r="F397" s="161" t="s">
        <v>216</v>
      </c>
      <c r="G397" s="162">
        <v>3</v>
      </c>
      <c r="H397" s="162"/>
      <c r="I397" s="162"/>
      <c r="J397" s="162"/>
      <c r="K397" s="177" t="s">
        <v>530</v>
      </c>
      <c r="L397" s="176"/>
      <c r="M397" s="176"/>
    </row>
    <row r="398" spans="1:13" ht="15.75" hidden="1" customHeight="1">
      <c r="A398" s="157"/>
      <c r="B398" s="202" t="str">
        <f t="shared" si="8"/>
        <v>6273000</v>
      </c>
      <c r="C398" s="203" t="s">
        <v>641</v>
      </c>
      <c r="D398" s="204" t="s">
        <v>579</v>
      </c>
      <c r="E398" s="204" t="s">
        <v>370</v>
      </c>
      <c r="F398" s="207" t="s">
        <v>217</v>
      </c>
      <c r="G398" s="184">
        <v>2</v>
      </c>
      <c r="H398" s="162" t="s">
        <v>30</v>
      </c>
      <c r="I398" s="216"/>
      <c r="J398" s="216"/>
      <c r="K398" s="177" t="s">
        <v>530</v>
      </c>
      <c r="L398" s="176"/>
      <c r="M398" s="176"/>
    </row>
    <row r="399" spans="1:13" ht="15.75" hidden="1" customHeight="1">
      <c r="A399" s="157"/>
      <c r="B399" s="158" t="str">
        <f t="shared" si="8"/>
        <v>6273101</v>
      </c>
      <c r="C399" s="177" t="s">
        <v>641</v>
      </c>
      <c r="D399" s="160" t="s">
        <v>571</v>
      </c>
      <c r="E399" s="160" t="s">
        <v>655</v>
      </c>
      <c r="F399" s="161" t="s">
        <v>217</v>
      </c>
      <c r="G399" s="162">
        <v>3</v>
      </c>
      <c r="H399" s="162"/>
      <c r="I399" s="162"/>
      <c r="J399" s="162"/>
      <c r="K399" s="177" t="s">
        <v>530</v>
      </c>
      <c r="L399" s="176"/>
      <c r="M399" s="176"/>
    </row>
    <row r="400" spans="1:13" ht="15.75" hidden="1" customHeight="1">
      <c r="A400" s="157"/>
      <c r="B400" s="202" t="str">
        <f t="shared" si="8"/>
        <v>6274000</v>
      </c>
      <c r="C400" s="203" t="s">
        <v>641</v>
      </c>
      <c r="D400" s="204" t="s">
        <v>664</v>
      </c>
      <c r="E400" s="204" t="s">
        <v>370</v>
      </c>
      <c r="F400" s="207" t="s">
        <v>218</v>
      </c>
      <c r="G400" s="184">
        <v>2</v>
      </c>
      <c r="H400" s="162" t="s">
        <v>30</v>
      </c>
      <c r="I400" s="216"/>
      <c r="J400" s="216"/>
      <c r="K400" s="177" t="s">
        <v>530</v>
      </c>
      <c r="L400" s="176"/>
      <c r="M400" s="176"/>
    </row>
    <row r="401" spans="1:13" ht="15.75" hidden="1" customHeight="1">
      <c r="A401" s="157"/>
      <c r="B401" s="158" t="str">
        <f t="shared" si="8"/>
        <v>6274101</v>
      </c>
      <c r="C401" s="177" t="s">
        <v>641</v>
      </c>
      <c r="D401" s="160" t="s">
        <v>592</v>
      </c>
      <c r="E401" s="160" t="s">
        <v>655</v>
      </c>
      <c r="F401" s="161" t="s">
        <v>218</v>
      </c>
      <c r="G401" s="162">
        <v>3</v>
      </c>
      <c r="H401" s="162"/>
      <c r="I401" s="162"/>
      <c r="J401" s="162"/>
      <c r="K401" s="177" t="s">
        <v>530</v>
      </c>
      <c r="L401" s="176"/>
      <c r="M401" s="176"/>
    </row>
    <row r="402" spans="1:13" ht="15.75" hidden="1" customHeight="1">
      <c r="A402" s="157"/>
      <c r="B402" s="202" t="str">
        <f t="shared" si="8"/>
        <v>6277000</v>
      </c>
      <c r="C402" s="203" t="s">
        <v>641</v>
      </c>
      <c r="D402" s="204" t="s">
        <v>668</v>
      </c>
      <c r="E402" s="204" t="s">
        <v>370</v>
      </c>
      <c r="F402" s="207" t="s">
        <v>219</v>
      </c>
      <c r="G402" s="184">
        <v>2</v>
      </c>
      <c r="H402" s="162" t="s">
        <v>30</v>
      </c>
      <c r="I402" s="216"/>
      <c r="J402" s="216"/>
      <c r="K402" s="177" t="s">
        <v>530</v>
      </c>
      <c r="L402" s="176"/>
      <c r="M402" s="176"/>
    </row>
    <row r="403" spans="1:13" ht="15.75" hidden="1" customHeight="1">
      <c r="A403" s="157"/>
      <c r="B403" s="158" t="str">
        <f t="shared" si="8"/>
        <v>6277101</v>
      </c>
      <c r="C403" s="177" t="s">
        <v>641</v>
      </c>
      <c r="D403" s="160" t="s">
        <v>601</v>
      </c>
      <c r="E403" s="160" t="s">
        <v>655</v>
      </c>
      <c r="F403" s="161" t="s">
        <v>219</v>
      </c>
      <c r="G403" s="162">
        <v>3</v>
      </c>
      <c r="H403" s="162"/>
      <c r="I403" s="162"/>
      <c r="J403" s="162"/>
      <c r="K403" s="177" t="s">
        <v>530</v>
      </c>
      <c r="L403" s="176"/>
      <c r="M403" s="176"/>
    </row>
    <row r="404" spans="1:13" ht="15.75" hidden="1" customHeight="1">
      <c r="A404" s="157"/>
      <c r="B404" s="202" t="str">
        <f t="shared" si="8"/>
        <v>6278000</v>
      </c>
      <c r="C404" s="203" t="s">
        <v>641</v>
      </c>
      <c r="D404" s="204" t="s">
        <v>660</v>
      </c>
      <c r="E404" s="204" t="s">
        <v>370</v>
      </c>
      <c r="F404" s="207" t="s">
        <v>220</v>
      </c>
      <c r="G404" s="184">
        <v>2</v>
      </c>
      <c r="H404" s="162" t="s">
        <v>30</v>
      </c>
      <c r="I404" s="216"/>
      <c r="J404" s="216"/>
      <c r="K404" s="177" t="s">
        <v>530</v>
      </c>
      <c r="L404" s="176"/>
      <c r="M404" s="176"/>
    </row>
    <row r="405" spans="1:13" ht="15.75" hidden="1" customHeight="1">
      <c r="A405" s="157"/>
      <c r="B405" s="158" t="str">
        <f t="shared" si="8"/>
        <v>6278101</v>
      </c>
      <c r="C405" s="177" t="s">
        <v>641</v>
      </c>
      <c r="D405" s="160" t="s">
        <v>586</v>
      </c>
      <c r="E405" s="160" t="s">
        <v>655</v>
      </c>
      <c r="F405" s="161" t="s">
        <v>220</v>
      </c>
      <c r="G405" s="162">
        <v>3</v>
      </c>
      <c r="H405" s="162"/>
      <c r="I405" s="162"/>
      <c r="J405" s="162"/>
      <c r="K405" s="177" t="s">
        <v>530</v>
      </c>
      <c r="L405" s="176"/>
      <c r="M405" s="176"/>
    </row>
    <row r="406" spans="1:13" ht="15.75" hidden="1" customHeight="1">
      <c r="A406" s="157"/>
      <c r="B406" s="170" t="str">
        <f t="shared" si="8"/>
        <v>6320000</v>
      </c>
      <c r="C406" s="171" t="s">
        <v>642</v>
      </c>
      <c r="D406" s="172" t="s">
        <v>370</v>
      </c>
      <c r="E406" s="172" t="s">
        <v>370</v>
      </c>
      <c r="F406" s="171" t="s">
        <v>221</v>
      </c>
      <c r="G406" s="178">
        <v>1</v>
      </c>
      <c r="H406" s="197" t="s">
        <v>30</v>
      </c>
      <c r="I406" s="201"/>
      <c r="J406" s="201"/>
      <c r="K406" s="177" t="s">
        <v>530</v>
      </c>
      <c r="L406" s="176"/>
      <c r="M406" s="176"/>
    </row>
    <row r="407" spans="1:13" ht="15.75" hidden="1" customHeight="1">
      <c r="A407" s="157"/>
      <c r="B407" s="202" t="str">
        <f t="shared" si="8"/>
        <v>6321000</v>
      </c>
      <c r="C407" s="203" t="s">
        <v>642</v>
      </c>
      <c r="D407" s="204" t="s">
        <v>569</v>
      </c>
      <c r="E407" s="204" t="s">
        <v>370</v>
      </c>
      <c r="F407" s="203" t="s">
        <v>812</v>
      </c>
      <c r="G407" s="184">
        <v>2</v>
      </c>
      <c r="H407" s="162" t="s">
        <v>30</v>
      </c>
      <c r="I407" s="216"/>
      <c r="J407" s="216"/>
      <c r="K407" s="177" t="s">
        <v>530</v>
      </c>
      <c r="L407" s="176"/>
      <c r="M407" s="176"/>
    </row>
    <row r="408" spans="1:13" ht="15.75" hidden="1" customHeight="1">
      <c r="A408" s="157"/>
      <c r="B408" s="158" t="str">
        <f t="shared" si="8"/>
        <v>6321101</v>
      </c>
      <c r="C408" s="177" t="s">
        <v>642</v>
      </c>
      <c r="D408" s="160" t="s">
        <v>566</v>
      </c>
      <c r="E408" s="160" t="s">
        <v>655</v>
      </c>
      <c r="F408" s="177" t="s">
        <v>812</v>
      </c>
      <c r="G408" s="162">
        <v>3</v>
      </c>
      <c r="H408" s="162"/>
      <c r="I408" s="162"/>
      <c r="J408" s="162"/>
      <c r="K408" s="177" t="s">
        <v>530</v>
      </c>
      <c r="L408" s="176"/>
      <c r="M408" s="176"/>
    </row>
    <row r="409" spans="1:13" ht="15.75" hidden="1" customHeight="1">
      <c r="A409" s="157"/>
      <c r="B409" s="202" t="str">
        <f t="shared" si="8"/>
        <v>6323000</v>
      </c>
      <c r="C409" s="203" t="s">
        <v>642</v>
      </c>
      <c r="D409" s="204" t="s">
        <v>579</v>
      </c>
      <c r="E409" s="204" t="s">
        <v>370</v>
      </c>
      <c r="F409" s="203" t="s">
        <v>813</v>
      </c>
      <c r="G409" s="184">
        <v>2</v>
      </c>
      <c r="H409" s="162" t="s">
        <v>30</v>
      </c>
      <c r="I409" s="216"/>
      <c r="J409" s="216"/>
      <c r="K409" s="177" t="s">
        <v>530</v>
      </c>
      <c r="L409" s="176"/>
      <c r="M409" s="176"/>
    </row>
    <row r="410" spans="1:13" ht="15.75" hidden="1" customHeight="1">
      <c r="A410" s="157"/>
      <c r="B410" s="158" t="str">
        <f t="shared" si="8"/>
        <v>6323101</v>
      </c>
      <c r="C410" s="177" t="s">
        <v>642</v>
      </c>
      <c r="D410" s="160" t="s">
        <v>571</v>
      </c>
      <c r="E410" s="160" t="s">
        <v>655</v>
      </c>
      <c r="F410" s="177" t="s">
        <v>813</v>
      </c>
      <c r="G410" s="162">
        <v>3</v>
      </c>
      <c r="H410" s="162"/>
      <c r="I410" s="162"/>
      <c r="J410" s="162"/>
      <c r="K410" s="177" t="s">
        <v>530</v>
      </c>
      <c r="L410" s="176"/>
      <c r="M410" s="176"/>
    </row>
    <row r="411" spans="1:13" ht="15.75" hidden="1" customHeight="1">
      <c r="A411" s="157"/>
      <c r="B411" s="202" t="str">
        <f t="shared" si="8"/>
        <v>6328000</v>
      </c>
      <c r="C411" s="203" t="s">
        <v>642</v>
      </c>
      <c r="D411" s="204" t="s">
        <v>660</v>
      </c>
      <c r="E411" s="204" t="s">
        <v>370</v>
      </c>
      <c r="F411" s="203" t="s">
        <v>814</v>
      </c>
      <c r="G411" s="184">
        <v>2</v>
      </c>
      <c r="H411" s="162" t="s">
        <v>30</v>
      </c>
      <c r="I411" s="216"/>
      <c r="J411" s="216"/>
      <c r="K411" s="177" t="s">
        <v>530</v>
      </c>
      <c r="L411" s="176"/>
      <c r="M411" s="176"/>
    </row>
    <row r="412" spans="1:13" hidden="1">
      <c r="A412" s="157"/>
      <c r="B412" s="158" t="str">
        <f t="shared" si="8"/>
        <v>6328101</v>
      </c>
      <c r="C412" s="177" t="s">
        <v>642</v>
      </c>
      <c r="D412" s="160" t="s">
        <v>586</v>
      </c>
      <c r="E412" s="160" t="s">
        <v>655</v>
      </c>
      <c r="F412" s="177" t="s">
        <v>222</v>
      </c>
      <c r="G412" s="162">
        <v>3</v>
      </c>
      <c r="H412" s="162"/>
      <c r="I412" s="162"/>
      <c r="J412" s="162"/>
      <c r="K412" s="177" t="s">
        <v>530</v>
      </c>
      <c r="L412" s="176"/>
      <c r="M412" s="176"/>
    </row>
    <row r="413" spans="1:13" ht="15.75" hidden="1" customHeight="1">
      <c r="A413" s="157"/>
      <c r="B413" s="170" t="str">
        <f t="shared" si="8"/>
        <v>6350000</v>
      </c>
      <c r="C413" s="171" t="s">
        <v>643</v>
      </c>
      <c r="D413" s="172" t="s">
        <v>370</v>
      </c>
      <c r="E413" s="172" t="s">
        <v>370</v>
      </c>
      <c r="F413" s="171" t="s">
        <v>223</v>
      </c>
      <c r="G413" s="178">
        <v>1</v>
      </c>
      <c r="H413" s="197" t="s">
        <v>30</v>
      </c>
      <c r="I413" s="201"/>
      <c r="J413" s="201"/>
      <c r="K413" s="177" t="s">
        <v>530</v>
      </c>
      <c r="L413" s="176"/>
      <c r="M413" s="176"/>
    </row>
    <row r="414" spans="1:13" ht="15.75" hidden="1" customHeight="1">
      <c r="A414" s="157"/>
      <c r="B414" s="202" t="str">
        <f t="shared" si="8"/>
        <v>6351000</v>
      </c>
      <c r="C414" s="203" t="s">
        <v>643</v>
      </c>
      <c r="D414" s="204" t="s">
        <v>569</v>
      </c>
      <c r="E414" s="204" t="s">
        <v>370</v>
      </c>
      <c r="F414" s="203" t="s">
        <v>224</v>
      </c>
      <c r="G414" s="184">
        <v>2</v>
      </c>
      <c r="H414" s="162" t="s">
        <v>30</v>
      </c>
      <c r="I414" s="216"/>
      <c r="J414" s="216"/>
      <c r="K414" s="177" t="s">
        <v>530</v>
      </c>
      <c r="L414" s="176"/>
      <c r="M414" s="176"/>
    </row>
    <row r="415" spans="1:13" ht="15.75" hidden="1" customHeight="1">
      <c r="A415" s="157"/>
      <c r="B415" s="158" t="str">
        <f t="shared" si="8"/>
        <v>6351101</v>
      </c>
      <c r="C415" s="177" t="s">
        <v>643</v>
      </c>
      <c r="D415" s="160" t="s">
        <v>566</v>
      </c>
      <c r="E415" s="160" t="s">
        <v>655</v>
      </c>
      <c r="F415" s="177" t="s">
        <v>224</v>
      </c>
      <c r="G415" s="162">
        <v>3</v>
      </c>
      <c r="H415" s="162"/>
      <c r="I415" s="162"/>
      <c r="J415" s="162"/>
      <c r="K415" s="177" t="s">
        <v>530</v>
      </c>
      <c r="L415" s="176"/>
      <c r="M415" s="176"/>
    </row>
    <row r="416" spans="1:13" ht="15.75" hidden="1" customHeight="1">
      <c r="A416" s="157"/>
      <c r="B416" s="202" t="str">
        <f t="shared" si="8"/>
        <v>6352000</v>
      </c>
      <c r="C416" s="203" t="s">
        <v>643</v>
      </c>
      <c r="D416" s="204" t="s">
        <v>578</v>
      </c>
      <c r="E416" s="204" t="s">
        <v>370</v>
      </c>
      <c r="F416" s="203" t="s">
        <v>225</v>
      </c>
      <c r="G416" s="184">
        <v>2</v>
      </c>
      <c r="H416" s="162" t="s">
        <v>30</v>
      </c>
      <c r="I416" s="216"/>
      <c r="J416" s="216"/>
      <c r="K416" s="177" t="s">
        <v>530</v>
      </c>
      <c r="L416" s="176"/>
      <c r="M416" s="176"/>
    </row>
    <row r="417" spans="1:13" ht="15.75" hidden="1" customHeight="1">
      <c r="A417" s="157"/>
      <c r="B417" s="158" t="str">
        <f t="shared" si="8"/>
        <v>6352101</v>
      </c>
      <c r="C417" s="177" t="s">
        <v>643</v>
      </c>
      <c r="D417" s="160" t="s">
        <v>567</v>
      </c>
      <c r="E417" s="160" t="s">
        <v>655</v>
      </c>
      <c r="F417" s="177" t="s">
        <v>444</v>
      </c>
      <c r="G417" s="162">
        <v>3</v>
      </c>
      <c r="H417" s="162"/>
      <c r="I417" s="162"/>
      <c r="J417" s="162"/>
      <c r="K417" s="177" t="s">
        <v>530</v>
      </c>
      <c r="L417" s="176"/>
      <c r="M417" s="176"/>
    </row>
    <row r="418" spans="1:13" ht="15.75" hidden="1" customHeight="1">
      <c r="A418" s="157"/>
      <c r="B418" s="158" t="str">
        <f t="shared" si="8"/>
        <v>6352102</v>
      </c>
      <c r="C418" s="177" t="s">
        <v>643</v>
      </c>
      <c r="D418" s="160" t="s">
        <v>567</v>
      </c>
      <c r="E418" s="160" t="s">
        <v>657</v>
      </c>
      <c r="F418" s="177" t="s">
        <v>443</v>
      </c>
      <c r="G418" s="162">
        <v>3</v>
      </c>
      <c r="H418" s="186"/>
      <c r="I418" s="162"/>
      <c r="J418" s="162"/>
      <c r="K418" s="177" t="s">
        <v>530</v>
      </c>
      <c r="L418" s="176"/>
      <c r="M418" s="176"/>
    </row>
    <row r="419" spans="1:13" ht="15.75" hidden="1" customHeight="1">
      <c r="A419" s="157"/>
      <c r="B419" s="202" t="str">
        <f t="shared" si="8"/>
        <v>6353000</v>
      </c>
      <c r="C419" s="177" t="s">
        <v>643</v>
      </c>
      <c r="D419" s="204" t="s">
        <v>579</v>
      </c>
      <c r="E419" s="204" t="s">
        <v>370</v>
      </c>
      <c r="F419" s="228" t="s">
        <v>769</v>
      </c>
      <c r="G419" s="184">
        <v>2</v>
      </c>
      <c r="H419" s="162" t="s">
        <v>30</v>
      </c>
      <c r="I419" s="216"/>
      <c r="J419" s="216"/>
      <c r="K419" s="177" t="s">
        <v>530</v>
      </c>
      <c r="L419" s="176"/>
      <c r="M419" s="176"/>
    </row>
    <row r="420" spans="1:13" ht="15.75" hidden="1" customHeight="1">
      <c r="A420" s="157"/>
      <c r="B420" s="158" t="str">
        <f t="shared" si="8"/>
        <v>6353101</v>
      </c>
      <c r="C420" s="177" t="s">
        <v>643</v>
      </c>
      <c r="D420" s="160" t="s">
        <v>571</v>
      </c>
      <c r="E420" s="160" t="s">
        <v>655</v>
      </c>
      <c r="F420" s="229" t="s">
        <v>769</v>
      </c>
      <c r="G420" s="162">
        <v>3</v>
      </c>
      <c r="H420" s="162"/>
      <c r="I420" s="162"/>
      <c r="J420" s="162"/>
      <c r="K420" s="177" t="s">
        <v>530</v>
      </c>
      <c r="L420" s="176"/>
      <c r="M420" s="176"/>
    </row>
    <row r="421" spans="1:13" ht="15.75" hidden="1" customHeight="1">
      <c r="A421" s="157"/>
      <c r="B421" s="202" t="str">
        <f t="shared" si="8"/>
        <v>6354000</v>
      </c>
      <c r="C421" s="177" t="s">
        <v>643</v>
      </c>
      <c r="D421" s="204" t="s">
        <v>664</v>
      </c>
      <c r="E421" s="204" t="s">
        <v>370</v>
      </c>
      <c r="F421" s="228" t="s">
        <v>925</v>
      </c>
      <c r="G421" s="184">
        <v>2</v>
      </c>
      <c r="H421" s="162" t="s">
        <v>30</v>
      </c>
      <c r="I421" s="216"/>
      <c r="J421" s="216"/>
      <c r="K421" s="177" t="s">
        <v>530</v>
      </c>
      <c r="L421" s="176"/>
      <c r="M421" s="176"/>
    </row>
    <row r="422" spans="1:13" ht="15.75" hidden="1" customHeight="1">
      <c r="A422" s="157"/>
      <c r="B422" s="158" t="str">
        <f t="shared" si="8"/>
        <v>6354101</v>
      </c>
      <c r="C422" s="177" t="s">
        <v>643</v>
      </c>
      <c r="D422" s="160" t="s">
        <v>592</v>
      </c>
      <c r="E422" s="160" t="s">
        <v>655</v>
      </c>
      <c r="F422" s="229" t="s">
        <v>926</v>
      </c>
      <c r="G422" s="162">
        <v>3</v>
      </c>
      <c r="H422" s="162"/>
      <c r="I422" s="162"/>
      <c r="J422" s="162"/>
      <c r="K422" s="177" t="s">
        <v>530</v>
      </c>
      <c r="L422" s="176"/>
      <c r="M422" s="176"/>
    </row>
    <row r="423" spans="1:13" ht="15.75" hidden="1" customHeight="1">
      <c r="A423" s="157"/>
      <c r="B423" s="158" t="str">
        <f t="shared" si="8"/>
        <v>6354102</v>
      </c>
      <c r="C423" s="177" t="s">
        <v>643</v>
      </c>
      <c r="D423" s="160" t="s">
        <v>592</v>
      </c>
      <c r="E423" s="160" t="s">
        <v>657</v>
      </c>
      <c r="F423" s="229" t="s">
        <v>927</v>
      </c>
      <c r="G423" s="162">
        <v>3</v>
      </c>
      <c r="H423" s="162"/>
      <c r="I423" s="162"/>
      <c r="J423" s="162"/>
      <c r="K423" s="177" t="s">
        <v>530</v>
      </c>
      <c r="L423" s="176"/>
      <c r="M423" s="176"/>
    </row>
    <row r="424" spans="1:13" ht="15.75" hidden="1" customHeight="1">
      <c r="A424" s="157"/>
      <c r="B424" s="202" t="str">
        <f t="shared" si="8"/>
        <v>6358000</v>
      </c>
      <c r="C424" s="203" t="s">
        <v>643</v>
      </c>
      <c r="D424" s="204" t="s">
        <v>660</v>
      </c>
      <c r="E424" s="204" t="s">
        <v>370</v>
      </c>
      <c r="F424" s="203" t="s">
        <v>776</v>
      </c>
      <c r="G424" s="184">
        <v>2</v>
      </c>
      <c r="H424" s="162" t="s">
        <v>30</v>
      </c>
      <c r="I424" s="216"/>
      <c r="J424" s="216"/>
      <c r="K424" s="177" t="s">
        <v>530</v>
      </c>
      <c r="L424" s="176"/>
      <c r="M424" s="176"/>
    </row>
    <row r="425" spans="1:13" ht="15.75" hidden="1" customHeight="1">
      <c r="A425" s="157"/>
      <c r="B425" s="158" t="str">
        <f t="shared" si="8"/>
        <v>6358101</v>
      </c>
      <c r="C425" s="177" t="s">
        <v>643</v>
      </c>
      <c r="D425" s="160" t="s">
        <v>586</v>
      </c>
      <c r="E425" s="160" t="s">
        <v>655</v>
      </c>
      <c r="F425" s="177" t="s">
        <v>776</v>
      </c>
      <c r="G425" s="162">
        <v>3</v>
      </c>
      <c r="H425" s="162"/>
      <c r="I425" s="162"/>
      <c r="J425" s="162"/>
      <c r="K425" s="177" t="s">
        <v>530</v>
      </c>
      <c r="L425" s="176"/>
      <c r="M425" s="176"/>
    </row>
    <row r="426" spans="1:13" ht="15.75" hidden="1" customHeight="1">
      <c r="A426" s="157"/>
      <c r="B426" s="170" t="str">
        <f t="shared" si="8"/>
        <v>6410000</v>
      </c>
      <c r="C426" s="171" t="s">
        <v>644</v>
      </c>
      <c r="D426" s="172" t="s">
        <v>370</v>
      </c>
      <c r="E426" s="172" t="s">
        <v>370</v>
      </c>
      <c r="F426" s="171" t="s">
        <v>226</v>
      </c>
      <c r="G426" s="178">
        <v>1</v>
      </c>
      <c r="H426" s="197" t="s">
        <v>30</v>
      </c>
      <c r="I426" s="201"/>
      <c r="J426" s="201"/>
      <c r="K426" s="177" t="s">
        <v>530</v>
      </c>
      <c r="L426" s="176"/>
      <c r="M426" s="176"/>
    </row>
    <row r="427" spans="1:13" ht="15.75" hidden="1" customHeight="1">
      <c r="A427" s="157"/>
      <c r="B427" s="202" t="str">
        <f t="shared" si="8"/>
        <v>6411000</v>
      </c>
      <c r="C427" s="203" t="s">
        <v>644</v>
      </c>
      <c r="D427" s="204" t="s">
        <v>569</v>
      </c>
      <c r="E427" s="204" t="s">
        <v>370</v>
      </c>
      <c r="F427" s="203" t="s">
        <v>215</v>
      </c>
      <c r="G427" s="184">
        <v>2</v>
      </c>
      <c r="H427" s="162" t="s">
        <v>30</v>
      </c>
      <c r="I427" s="216"/>
      <c r="J427" s="216"/>
      <c r="K427" s="177" t="s">
        <v>530</v>
      </c>
      <c r="L427" s="176"/>
      <c r="M427" s="176"/>
    </row>
    <row r="428" spans="1:13" ht="15.75" hidden="1" customHeight="1">
      <c r="A428" s="157"/>
      <c r="B428" s="158" t="str">
        <f t="shared" si="8"/>
        <v>6411101</v>
      </c>
      <c r="C428" s="177" t="s">
        <v>644</v>
      </c>
      <c r="D428" s="160" t="s">
        <v>566</v>
      </c>
      <c r="E428" s="160" t="s">
        <v>655</v>
      </c>
      <c r="F428" s="177" t="s">
        <v>215</v>
      </c>
      <c r="G428" s="162">
        <v>3</v>
      </c>
      <c r="H428" s="162"/>
      <c r="I428" s="162"/>
      <c r="J428" s="162"/>
      <c r="K428" s="177" t="s">
        <v>530</v>
      </c>
      <c r="L428" s="176"/>
      <c r="M428" s="176"/>
    </row>
    <row r="429" spans="1:13" ht="15.75" hidden="1" customHeight="1">
      <c r="A429" s="157"/>
      <c r="B429" s="202" t="str">
        <f t="shared" si="8"/>
        <v>6412000</v>
      </c>
      <c r="C429" s="203" t="s">
        <v>644</v>
      </c>
      <c r="D429" s="204" t="s">
        <v>578</v>
      </c>
      <c r="E429" s="204" t="s">
        <v>370</v>
      </c>
      <c r="F429" s="203" t="s">
        <v>227</v>
      </c>
      <c r="G429" s="184">
        <v>2</v>
      </c>
      <c r="H429" s="162" t="s">
        <v>30</v>
      </c>
      <c r="I429" s="216"/>
      <c r="J429" s="216"/>
      <c r="K429" s="177" t="s">
        <v>530</v>
      </c>
      <c r="L429" s="176"/>
      <c r="M429" s="176"/>
    </row>
    <row r="430" spans="1:13" ht="15.75" hidden="1" customHeight="1">
      <c r="A430" s="157"/>
      <c r="B430" s="158" t="str">
        <f t="shared" si="8"/>
        <v>6412101</v>
      </c>
      <c r="C430" s="177" t="s">
        <v>644</v>
      </c>
      <c r="D430" s="160" t="s">
        <v>567</v>
      </c>
      <c r="E430" s="160" t="s">
        <v>655</v>
      </c>
      <c r="F430" s="177" t="s">
        <v>227</v>
      </c>
      <c r="G430" s="162">
        <v>3</v>
      </c>
      <c r="H430" s="162"/>
      <c r="I430" s="162"/>
      <c r="J430" s="162"/>
      <c r="K430" s="177" t="s">
        <v>530</v>
      </c>
      <c r="L430" s="176"/>
      <c r="M430" s="176"/>
    </row>
    <row r="431" spans="1:13" ht="15.75" hidden="1" customHeight="1">
      <c r="A431" s="157"/>
      <c r="B431" s="202" t="str">
        <f t="shared" si="8"/>
        <v>6413000</v>
      </c>
      <c r="C431" s="203" t="s">
        <v>644</v>
      </c>
      <c r="D431" s="204" t="s">
        <v>579</v>
      </c>
      <c r="E431" s="204" t="s">
        <v>370</v>
      </c>
      <c r="F431" s="203" t="s">
        <v>228</v>
      </c>
      <c r="G431" s="184">
        <v>2</v>
      </c>
      <c r="H431" s="162" t="s">
        <v>30</v>
      </c>
      <c r="I431" s="216"/>
      <c r="J431" s="216"/>
      <c r="K431" s="177" t="s">
        <v>530</v>
      </c>
      <c r="L431" s="176"/>
      <c r="M431" s="176"/>
    </row>
    <row r="432" spans="1:13" ht="15.75" customHeight="1">
      <c r="A432" s="157"/>
      <c r="B432" s="158" t="str">
        <f t="shared" si="8"/>
        <v>6413101</v>
      </c>
      <c r="C432" s="177" t="s">
        <v>644</v>
      </c>
      <c r="D432" s="160" t="s">
        <v>571</v>
      </c>
      <c r="E432" s="160" t="s">
        <v>655</v>
      </c>
      <c r="F432" s="177" t="s">
        <v>228</v>
      </c>
      <c r="G432" s="162">
        <v>3</v>
      </c>
      <c r="H432" s="162"/>
      <c r="I432" s="162"/>
      <c r="J432" s="162"/>
      <c r="K432" s="177" t="s">
        <v>530</v>
      </c>
      <c r="L432" s="176"/>
      <c r="M432" s="176"/>
    </row>
    <row r="433" spans="1:13" ht="15.75" hidden="1" customHeight="1">
      <c r="A433" s="157"/>
      <c r="B433" s="202" t="str">
        <f t="shared" si="8"/>
        <v>6414000</v>
      </c>
      <c r="C433" s="203" t="s">
        <v>644</v>
      </c>
      <c r="D433" s="204" t="s">
        <v>664</v>
      </c>
      <c r="E433" s="204" t="s">
        <v>370</v>
      </c>
      <c r="F433" s="203" t="s">
        <v>218</v>
      </c>
      <c r="G433" s="184">
        <v>2</v>
      </c>
      <c r="H433" s="162" t="s">
        <v>30</v>
      </c>
      <c r="I433" s="216"/>
      <c r="J433" s="216"/>
      <c r="K433" s="177" t="s">
        <v>530</v>
      </c>
      <c r="L433" s="176"/>
      <c r="M433" s="176"/>
    </row>
    <row r="434" spans="1:13" ht="15.75" hidden="1" customHeight="1">
      <c r="A434" s="157"/>
      <c r="B434" s="158" t="str">
        <f t="shared" si="8"/>
        <v>6414101</v>
      </c>
      <c r="C434" s="177" t="s">
        <v>644</v>
      </c>
      <c r="D434" s="160" t="s">
        <v>592</v>
      </c>
      <c r="E434" s="160" t="s">
        <v>655</v>
      </c>
      <c r="F434" s="177" t="s">
        <v>218</v>
      </c>
      <c r="G434" s="162">
        <v>3</v>
      </c>
      <c r="H434" s="162"/>
      <c r="I434" s="162"/>
      <c r="J434" s="162"/>
      <c r="K434" s="177" t="s">
        <v>530</v>
      </c>
      <c r="L434" s="176"/>
      <c r="M434" s="176"/>
    </row>
    <row r="435" spans="1:13" ht="15.75" hidden="1" customHeight="1">
      <c r="A435" s="157"/>
      <c r="B435" s="202" t="str">
        <f t="shared" si="8"/>
        <v>6415000</v>
      </c>
      <c r="C435" s="203" t="s">
        <v>644</v>
      </c>
      <c r="D435" s="204" t="s">
        <v>669</v>
      </c>
      <c r="E435" s="204" t="s">
        <v>370</v>
      </c>
      <c r="F435" s="203" t="s">
        <v>229</v>
      </c>
      <c r="G435" s="184">
        <v>2</v>
      </c>
      <c r="H435" s="162" t="s">
        <v>30</v>
      </c>
      <c r="I435" s="216"/>
      <c r="J435" s="216"/>
      <c r="K435" s="177" t="s">
        <v>530</v>
      </c>
      <c r="L435" s="176"/>
      <c r="M435" s="176"/>
    </row>
    <row r="436" spans="1:13" ht="15.75" hidden="1" customHeight="1">
      <c r="A436" s="157"/>
      <c r="B436" s="158" t="str">
        <f t="shared" si="8"/>
        <v>6415101</v>
      </c>
      <c r="C436" s="177" t="s">
        <v>644</v>
      </c>
      <c r="D436" s="160" t="s">
        <v>585</v>
      </c>
      <c r="E436" s="160" t="s">
        <v>655</v>
      </c>
      <c r="F436" s="177" t="s">
        <v>229</v>
      </c>
      <c r="G436" s="162">
        <v>3</v>
      </c>
      <c r="H436" s="162"/>
      <c r="I436" s="162"/>
      <c r="J436" s="162"/>
      <c r="K436" s="177" t="s">
        <v>530</v>
      </c>
      <c r="L436" s="176"/>
      <c r="M436" s="176"/>
    </row>
    <row r="437" spans="1:13" ht="15.75" hidden="1" customHeight="1">
      <c r="A437" s="157"/>
      <c r="B437" s="202" t="str">
        <f t="shared" si="8"/>
        <v>6416000</v>
      </c>
      <c r="C437" s="203" t="s">
        <v>644</v>
      </c>
      <c r="D437" s="204" t="s">
        <v>805</v>
      </c>
      <c r="E437" s="204" t="s">
        <v>370</v>
      </c>
      <c r="F437" s="203" t="s">
        <v>230</v>
      </c>
      <c r="G437" s="184">
        <v>2</v>
      </c>
      <c r="H437" s="162" t="s">
        <v>30</v>
      </c>
      <c r="I437" s="216"/>
      <c r="J437" s="216"/>
      <c r="K437" s="177" t="s">
        <v>530</v>
      </c>
      <c r="L437" s="176"/>
      <c r="M437" s="176"/>
    </row>
    <row r="438" spans="1:13" ht="15.75" hidden="1" customHeight="1">
      <c r="A438" s="157"/>
      <c r="B438" s="158" t="str">
        <f t="shared" si="8"/>
        <v>6416101</v>
      </c>
      <c r="C438" s="177" t="s">
        <v>644</v>
      </c>
      <c r="D438" s="160" t="s">
        <v>600</v>
      </c>
      <c r="E438" s="160" t="s">
        <v>655</v>
      </c>
      <c r="F438" s="177" t="s">
        <v>230</v>
      </c>
      <c r="G438" s="162">
        <v>3</v>
      </c>
      <c r="H438" s="162"/>
      <c r="I438" s="162"/>
      <c r="J438" s="162"/>
      <c r="K438" s="177" t="s">
        <v>530</v>
      </c>
      <c r="L438" s="176"/>
      <c r="M438" s="176"/>
    </row>
    <row r="439" spans="1:13" ht="15.75" hidden="1" customHeight="1">
      <c r="A439" s="157"/>
      <c r="B439" s="202" t="str">
        <f t="shared" si="8"/>
        <v>6417000</v>
      </c>
      <c r="C439" s="203" t="s">
        <v>644</v>
      </c>
      <c r="D439" s="204" t="s">
        <v>668</v>
      </c>
      <c r="E439" s="204" t="s">
        <v>370</v>
      </c>
      <c r="F439" s="203" t="s">
        <v>219</v>
      </c>
      <c r="G439" s="184">
        <v>2</v>
      </c>
      <c r="H439" s="162" t="s">
        <v>30</v>
      </c>
      <c r="I439" s="216"/>
      <c r="J439" s="216"/>
      <c r="K439" s="177" t="s">
        <v>530</v>
      </c>
      <c r="L439" s="176"/>
      <c r="M439" s="176"/>
    </row>
    <row r="440" spans="1:13" ht="15.75" hidden="1" customHeight="1">
      <c r="A440" s="157"/>
      <c r="B440" s="158" t="str">
        <f t="shared" si="8"/>
        <v>6417101</v>
      </c>
      <c r="C440" s="177" t="s">
        <v>644</v>
      </c>
      <c r="D440" s="160" t="s">
        <v>601</v>
      </c>
      <c r="E440" s="160" t="s">
        <v>655</v>
      </c>
      <c r="F440" s="177" t="s">
        <v>219</v>
      </c>
      <c r="G440" s="162">
        <v>3</v>
      </c>
      <c r="H440" s="162"/>
      <c r="I440" s="162"/>
      <c r="J440" s="162"/>
      <c r="K440" s="177" t="s">
        <v>530</v>
      </c>
      <c r="L440" s="176"/>
      <c r="M440" s="176"/>
    </row>
    <row r="441" spans="1:13" ht="15.75" hidden="1" customHeight="1">
      <c r="A441" s="157"/>
      <c r="B441" s="202" t="str">
        <f t="shared" si="8"/>
        <v>6418000</v>
      </c>
      <c r="C441" s="203" t="s">
        <v>644</v>
      </c>
      <c r="D441" s="204" t="s">
        <v>660</v>
      </c>
      <c r="E441" s="204" t="s">
        <v>370</v>
      </c>
      <c r="F441" s="203" t="s">
        <v>220</v>
      </c>
      <c r="G441" s="184">
        <v>2</v>
      </c>
      <c r="H441" s="162" t="s">
        <v>30</v>
      </c>
      <c r="I441" s="216"/>
      <c r="J441" s="216"/>
      <c r="K441" s="177" t="s">
        <v>530</v>
      </c>
      <c r="L441" s="176"/>
      <c r="M441" s="176"/>
    </row>
    <row r="442" spans="1:13" ht="15.75" hidden="1" customHeight="1">
      <c r="A442" s="157"/>
      <c r="B442" s="158" t="str">
        <f t="shared" si="8"/>
        <v>6418101</v>
      </c>
      <c r="C442" s="177" t="s">
        <v>644</v>
      </c>
      <c r="D442" s="160" t="s">
        <v>586</v>
      </c>
      <c r="E442" s="160" t="s">
        <v>655</v>
      </c>
      <c r="F442" s="177" t="s">
        <v>220</v>
      </c>
      <c r="G442" s="162">
        <v>3</v>
      </c>
      <c r="H442" s="162"/>
      <c r="I442" s="162"/>
      <c r="J442" s="162"/>
      <c r="K442" s="177" t="s">
        <v>530</v>
      </c>
      <c r="L442" s="176"/>
      <c r="M442" s="176"/>
    </row>
    <row r="443" spans="1:13" ht="15.75" hidden="1" customHeight="1">
      <c r="A443" s="157"/>
      <c r="B443" s="170" t="str">
        <f t="shared" si="8"/>
        <v>6420000</v>
      </c>
      <c r="C443" s="171" t="s">
        <v>645</v>
      </c>
      <c r="D443" s="172" t="s">
        <v>370</v>
      </c>
      <c r="E443" s="172" t="s">
        <v>370</v>
      </c>
      <c r="F443" s="171" t="s">
        <v>815</v>
      </c>
      <c r="G443" s="178">
        <v>1</v>
      </c>
      <c r="H443" s="197" t="s">
        <v>30</v>
      </c>
      <c r="I443" s="201"/>
      <c r="J443" s="201"/>
      <c r="K443" s="177" t="s">
        <v>530</v>
      </c>
      <c r="L443" s="176"/>
      <c r="M443" s="176"/>
    </row>
    <row r="444" spans="1:13" ht="15.75" hidden="1" customHeight="1">
      <c r="A444" s="157"/>
      <c r="B444" s="202" t="str">
        <f t="shared" si="8"/>
        <v>6421000</v>
      </c>
      <c r="C444" s="203" t="s">
        <v>645</v>
      </c>
      <c r="D444" s="204" t="s">
        <v>569</v>
      </c>
      <c r="E444" s="204" t="s">
        <v>370</v>
      </c>
      <c r="F444" s="203" t="s">
        <v>231</v>
      </c>
      <c r="G444" s="184">
        <v>2</v>
      </c>
      <c r="H444" s="162" t="s">
        <v>30</v>
      </c>
      <c r="I444" s="216"/>
      <c r="J444" s="216"/>
      <c r="K444" s="177" t="s">
        <v>530</v>
      </c>
      <c r="L444" s="176"/>
      <c r="M444" s="176"/>
    </row>
    <row r="445" spans="1:13" ht="15.75" hidden="1" customHeight="1">
      <c r="A445" s="157"/>
      <c r="B445" s="158" t="str">
        <f t="shared" si="8"/>
        <v>6421101</v>
      </c>
      <c r="C445" s="177" t="s">
        <v>645</v>
      </c>
      <c r="D445" s="160" t="s">
        <v>566</v>
      </c>
      <c r="E445" s="160" t="s">
        <v>655</v>
      </c>
      <c r="F445" s="177" t="s">
        <v>231</v>
      </c>
      <c r="G445" s="162">
        <v>3</v>
      </c>
      <c r="H445" s="162"/>
      <c r="I445" s="162"/>
      <c r="J445" s="162"/>
      <c r="K445" s="177" t="s">
        <v>530</v>
      </c>
      <c r="L445" s="176"/>
      <c r="M445" s="176"/>
    </row>
    <row r="446" spans="1:13" ht="15.75" hidden="1" customHeight="1">
      <c r="A446" s="157"/>
      <c r="B446" s="202" t="str">
        <f t="shared" si="8"/>
        <v>6422000</v>
      </c>
      <c r="C446" s="203" t="s">
        <v>645</v>
      </c>
      <c r="D446" s="204" t="s">
        <v>578</v>
      </c>
      <c r="E446" s="204" t="s">
        <v>370</v>
      </c>
      <c r="F446" s="203" t="s">
        <v>232</v>
      </c>
      <c r="G446" s="184">
        <v>2</v>
      </c>
      <c r="H446" s="162" t="s">
        <v>30</v>
      </c>
      <c r="I446" s="216"/>
      <c r="J446" s="216"/>
      <c r="K446" s="177" t="s">
        <v>530</v>
      </c>
      <c r="L446" s="176"/>
      <c r="M446" s="176"/>
    </row>
    <row r="447" spans="1:13" ht="15.75" hidden="1" customHeight="1">
      <c r="A447" s="157"/>
      <c r="B447" s="158" t="str">
        <f t="shared" si="8"/>
        <v>6422101</v>
      </c>
      <c r="C447" s="177" t="s">
        <v>645</v>
      </c>
      <c r="D447" s="160" t="s">
        <v>567</v>
      </c>
      <c r="E447" s="160" t="s">
        <v>655</v>
      </c>
      <c r="F447" s="177" t="s">
        <v>232</v>
      </c>
      <c r="G447" s="162">
        <v>3</v>
      </c>
      <c r="H447" s="162"/>
      <c r="I447" s="162"/>
      <c r="J447" s="162"/>
      <c r="K447" s="177" t="s">
        <v>530</v>
      </c>
      <c r="L447" s="176"/>
      <c r="M447" s="176"/>
    </row>
    <row r="448" spans="1:13" ht="15.75" hidden="1" customHeight="1">
      <c r="A448" s="157"/>
      <c r="B448" s="202" t="str">
        <f t="shared" si="8"/>
        <v>6423000</v>
      </c>
      <c r="C448" s="203" t="s">
        <v>645</v>
      </c>
      <c r="D448" s="204" t="s">
        <v>579</v>
      </c>
      <c r="E448" s="204" t="s">
        <v>370</v>
      </c>
      <c r="F448" s="203" t="s">
        <v>233</v>
      </c>
      <c r="G448" s="184">
        <v>2</v>
      </c>
      <c r="H448" s="162" t="s">
        <v>30</v>
      </c>
      <c r="I448" s="216"/>
      <c r="J448" s="216"/>
      <c r="K448" s="177" t="s">
        <v>530</v>
      </c>
      <c r="L448" s="176"/>
      <c r="M448" s="176"/>
    </row>
    <row r="449" spans="1:13" ht="15.75" hidden="1" customHeight="1">
      <c r="A449" s="157"/>
      <c r="B449" s="158" t="str">
        <f t="shared" si="8"/>
        <v>6423101</v>
      </c>
      <c r="C449" s="177" t="s">
        <v>645</v>
      </c>
      <c r="D449" s="160" t="s">
        <v>571</v>
      </c>
      <c r="E449" s="160" t="s">
        <v>655</v>
      </c>
      <c r="F449" s="177" t="s">
        <v>233</v>
      </c>
      <c r="G449" s="162">
        <v>3</v>
      </c>
      <c r="H449" s="162"/>
      <c r="I449" s="162"/>
      <c r="J449" s="162"/>
      <c r="K449" s="177" t="s">
        <v>530</v>
      </c>
      <c r="L449" s="176"/>
      <c r="M449" s="176"/>
    </row>
    <row r="450" spans="1:13" ht="15.75" hidden="1" customHeight="1">
      <c r="A450" s="157"/>
      <c r="B450" s="202" t="str">
        <f t="shared" si="8"/>
        <v>6424000</v>
      </c>
      <c r="C450" s="203" t="s">
        <v>645</v>
      </c>
      <c r="D450" s="204" t="s">
        <v>664</v>
      </c>
      <c r="E450" s="204" t="s">
        <v>370</v>
      </c>
      <c r="F450" s="203" t="s">
        <v>234</v>
      </c>
      <c r="G450" s="184">
        <v>2</v>
      </c>
      <c r="H450" s="162" t="s">
        <v>30</v>
      </c>
      <c r="I450" s="216"/>
      <c r="J450" s="216"/>
      <c r="K450" s="177" t="s">
        <v>530</v>
      </c>
      <c r="L450" s="176"/>
      <c r="M450" s="176"/>
    </row>
    <row r="451" spans="1:13" ht="15.75" hidden="1" customHeight="1">
      <c r="A451" s="157"/>
      <c r="B451" s="158" t="str">
        <f t="shared" si="8"/>
        <v>6424101</v>
      </c>
      <c r="C451" s="177" t="s">
        <v>645</v>
      </c>
      <c r="D451" s="160" t="s">
        <v>592</v>
      </c>
      <c r="E451" s="160" t="s">
        <v>655</v>
      </c>
      <c r="F451" s="177" t="s">
        <v>234</v>
      </c>
      <c r="G451" s="162">
        <v>3</v>
      </c>
      <c r="H451" s="162"/>
      <c r="I451" s="162"/>
      <c r="J451" s="162"/>
      <c r="K451" s="177" t="s">
        <v>530</v>
      </c>
      <c r="L451" s="176"/>
      <c r="M451" s="176"/>
    </row>
    <row r="452" spans="1:13" ht="15.75" hidden="1" customHeight="1">
      <c r="A452" s="157"/>
      <c r="B452" s="202" t="str">
        <f t="shared" si="8"/>
        <v>6425000</v>
      </c>
      <c r="C452" s="203" t="s">
        <v>645</v>
      </c>
      <c r="D452" s="204" t="s">
        <v>669</v>
      </c>
      <c r="E452" s="204" t="s">
        <v>370</v>
      </c>
      <c r="F452" s="203" t="s">
        <v>235</v>
      </c>
      <c r="G452" s="184">
        <v>2</v>
      </c>
      <c r="H452" s="162" t="s">
        <v>30</v>
      </c>
      <c r="I452" s="216"/>
      <c r="J452" s="216"/>
      <c r="K452" s="177" t="s">
        <v>530</v>
      </c>
      <c r="L452" s="176"/>
      <c r="M452" s="176"/>
    </row>
    <row r="453" spans="1:13" ht="15.75" hidden="1" customHeight="1">
      <c r="A453" s="157"/>
      <c r="B453" s="158" t="str">
        <f t="shared" si="8"/>
        <v>6425101</v>
      </c>
      <c r="C453" s="177" t="s">
        <v>645</v>
      </c>
      <c r="D453" s="160" t="s">
        <v>585</v>
      </c>
      <c r="E453" s="160" t="s">
        <v>655</v>
      </c>
      <c r="F453" s="177" t="s">
        <v>235</v>
      </c>
      <c r="G453" s="162">
        <v>3</v>
      </c>
      <c r="H453" s="162"/>
      <c r="I453" s="162"/>
      <c r="J453" s="162"/>
      <c r="K453" s="177" t="s">
        <v>530</v>
      </c>
      <c r="L453" s="176"/>
      <c r="M453" s="176"/>
    </row>
    <row r="454" spans="1:13" ht="15.75" hidden="1" customHeight="1">
      <c r="A454" s="157"/>
      <c r="B454" s="202" t="str">
        <f t="shared" si="8"/>
        <v>6426000</v>
      </c>
      <c r="C454" s="203" t="s">
        <v>645</v>
      </c>
      <c r="D454" s="204" t="s">
        <v>805</v>
      </c>
      <c r="E454" s="204" t="s">
        <v>370</v>
      </c>
      <c r="F454" s="203" t="s">
        <v>236</v>
      </c>
      <c r="G454" s="184">
        <v>2</v>
      </c>
      <c r="H454" s="162" t="s">
        <v>30</v>
      </c>
      <c r="I454" s="216"/>
      <c r="J454" s="216"/>
      <c r="K454" s="177" t="s">
        <v>530</v>
      </c>
      <c r="L454" s="176"/>
      <c r="M454" s="176"/>
    </row>
    <row r="455" spans="1:13" ht="15.75" hidden="1" customHeight="1">
      <c r="A455" s="157"/>
      <c r="B455" s="158" t="str">
        <f t="shared" si="8"/>
        <v>6426101</v>
      </c>
      <c r="C455" s="177" t="s">
        <v>645</v>
      </c>
      <c r="D455" s="160" t="s">
        <v>600</v>
      </c>
      <c r="E455" s="160" t="s">
        <v>655</v>
      </c>
      <c r="F455" s="177" t="s">
        <v>237</v>
      </c>
      <c r="G455" s="162">
        <v>3</v>
      </c>
      <c r="H455" s="162"/>
      <c r="I455" s="162"/>
      <c r="J455" s="162"/>
      <c r="K455" s="177" t="s">
        <v>530</v>
      </c>
      <c r="L455" s="176"/>
      <c r="M455" s="176"/>
    </row>
    <row r="456" spans="1:13" ht="15.75" hidden="1" customHeight="1">
      <c r="A456" s="157"/>
      <c r="B456" s="158" t="str">
        <f t="shared" si="8"/>
        <v>6426102</v>
      </c>
      <c r="C456" s="177" t="s">
        <v>645</v>
      </c>
      <c r="D456" s="160" t="s">
        <v>600</v>
      </c>
      <c r="E456" s="160" t="s">
        <v>657</v>
      </c>
      <c r="F456" s="177" t="s">
        <v>238</v>
      </c>
      <c r="G456" s="162">
        <v>3</v>
      </c>
      <c r="H456" s="186"/>
      <c r="I456" s="162"/>
      <c r="J456" s="162"/>
      <c r="K456" s="177" t="s">
        <v>530</v>
      </c>
      <c r="L456" s="176"/>
      <c r="M456" s="176"/>
    </row>
    <row r="457" spans="1:13" ht="15.75" hidden="1" customHeight="1">
      <c r="A457" s="157"/>
      <c r="B457" s="202" t="str">
        <f t="shared" si="8"/>
        <v>6427000</v>
      </c>
      <c r="C457" s="203" t="s">
        <v>645</v>
      </c>
      <c r="D457" s="204" t="s">
        <v>668</v>
      </c>
      <c r="E457" s="204" t="s">
        <v>370</v>
      </c>
      <c r="F457" s="203" t="s">
        <v>219</v>
      </c>
      <c r="G457" s="184">
        <v>2</v>
      </c>
      <c r="H457" s="162" t="s">
        <v>30</v>
      </c>
      <c r="I457" s="216"/>
      <c r="J457" s="216"/>
      <c r="K457" s="177" t="s">
        <v>530</v>
      </c>
      <c r="L457" s="176"/>
      <c r="M457" s="176"/>
    </row>
    <row r="458" spans="1:13" ht="15.75" hidden="1" customHeight="1">
      <c r="A458" s="157"/>
      <c r="B458" s="158" t="str">
        <f t="shared" si="8"/>
        <v>6427101</v>
      </c>
      <c r="C458" s="177" t="s">
        <v>645</v>
      </c>
      <c r="D458" s="160" t="s">
        <v>601</v>
      </c>
      <c r="E458" s="160" t="s">
        <v>655</v>
      </c>
      <c r="F458" s="177" t="s">
        <v>219</v>
      </c>
      <c r="G458" s="162">
        <v>3</v>
      </c>
      <c r="H458" s="162"/>
      <c r="I458" s="162"/>
      <c r="J458" s="162"/>
      <c r="K458" s="177" t="s">
        <v>530</v>
      </c>
      <c r="L458" s="176"/>
      <c r="M458" s="176"/>
    </row>
    <row r="459" spans="1:13" ht="15.75" hidden="1" customHeight="1">
      <c r="A459" s="157"/>
      <c r="B459" s="202" t="str">
        <f t="shared" ref="B459:B482" si="9">C459&amp;D459&amp;E459</f>
        <v>6428000</v>
      </c>
      <c r="C459" s="203" t="s">
        <v>645</v>
      </c>
      <c r="D459" s="204" t="s">
        <v>660</v>
      </c>
      <c r="E459" s="204" t="s">
        <v>370</v>
      </c>
      <c r="F459" s="203" t="s">
        <v>220</v>
      </c>
      <c r="G459" s="184">
        <v>2</v>
      </c>
      <c r="H459" s="162" t="s">
        <v>30</v>
      </c>
      <c r="I459" s="216"/>
      <c r="J459" s="216"/>
      <c r="K459" s="177" t="s">
        <v>530</v>
      </c>
      <c r="L459" s="176"/>
      <c r="M459" s="176"/>
    </row>
    <row r="460" spans="1:13" ht="15.75" hidden="1" customHeight="1">
      <c r="A460" s="157"/>
      <c r="B460" s="158" t="str">
        <f t="shared" si="9"/>
        <v>6428101</v>
      </c>
      <c r="C460" s="177" t="s">
        <v>645</v>
      </c>
      <c r="D460" s="160" t="s">
        <v>586</v>
      </c>
      <c r="E460" s="160" t="s">
        <v>655</v>
      </c>
      <c r="F460" s="177" t="s">
        <v>220</v>
      </c>
      <c r="G460" s="162">
        <v>3</v>
      </c>
      <c r="H460" s="162"/>
      <c r="I460" s="162"/>
      <c r="J460" s="162"/>
      <c r="K460" s="177" t="s">
        <v>530</v>
      </c>
      <c r="L460" s="176"/>
      <c r="M460" s="176"/>
    </row>
    <row r="461" spans="1:13" ht="15.75" hidden="1" customHeight="1">
      <c r="A461" s="157"/>
      <c r="B461" s="170" t="str">
        <f t="shared" si="9"/>
        <v>7110000</v>
      </c>
      <c r="C461" s="171" t="s">
        <v>646</v>
      </c>
      <c r="D461" s="172" t="s">
        <v>370</v>
      </c>
      <c r="E461" s="172" t="s">
        <v>370</v>
      </c>
      <c r="F461" s="171" t="s">
        <v>239</v>
      </c>
      <c r="G461" s="178">
        <v>1</v>
      </c>
      <c r="H461" s="197" t="s">
        <v>30</v>
      </c>
      <c r="I461" s="201"/>
      <c r="J461" s="201"/>
      <c r="K461" s="175" t="s">
        <v>391</v>
      </c>
      <c r="L461" s="176"/>
      <c r="M461" s="176"/>
    </row>
    <row r="462" spans="1:13" ht="15.75" hidden="1" customHeight="1">
      <c r="A462" s="157"/>
      <c r="B462" s="202" t="str">
        <f t="shared" si="9"/>
        <v>7111000</v>
      </c>
      <c r="C462" s="203" t="s">
        <v>646</v>
      </c>
      <c r="D462" s="204" t="s">
        <v>569</v>
      </c>
      <c r="E462" s="204" t="s">
        <v>370</v>
      </c>
      <c r="F462" s="203" t="s">
        <v>240</v>
      </c>
      <c r="G462" s="184">
        <v>2</v>
      </c>
      <c r="H462" s="162" t="s">
        <v>30</v>
      </c>
      <c r="I462" s="216"/>
      <c r="J462" s="216"/>
      <c r="K462" s="175" t="s">
        <v>391</v>
      </c>
      <c r="L462" s="176"/>
      <c r="M462" s="176"/>
    </row>
    <row r="463" spans="1:13" ht="15.75" hidden="1" customHeight="1">
      <c r="A463" s="157"/>
      <c r="B463" s="158" t="str">
        <f t="shared" si="9"/>
        <v>7111101</v>
      </c>
      <c r="C463" s="177" t="s">
        <v>646</v>
      </c>
      <c r="D463" s="160" t="s">
        <v>566</v>
      </c>
      <c r="E463" s="160" t="s">
        <v>655</v>
      </c>
      <c r="F463" s="177" t="s">
        <v>240</v>
      </c>
      <c r="G463" s="162">
        <v>3</v>
      </c>
      <c r="H463" s="162"/>
      <c r="I463" s="162"/>
      <c r="J463" s="162"/>
      <c r="K463" s="175" t="s">
        <v>391</v>
      </c>
      <c r="L463" s="176"/>
      <c r="M463" s="176"/>
    </row>
    <row r="464" spans="1:13" ht="15.75" hidden="1" customHeight="1">
      <c r="A464" s="157"/>
      <c r="B464" s="202" t="str">
        <f t="shared" si="9"/>
        <v>7112000</v>
      </c>
      <c r="C464" s="203" t="s">
        <v>646</v>
      </c>
      <c r="D464" s="204" t="s">
        <v>578</v>
      </c>
      <c r="E464" s="204" t="s">
        <v>370</v>
      </c>
      <c r="F464" s="203" t="s">
        <v>929</v>
      </c>
      <c r="G464" s="184">
        <v>2</v>
      </c>
      <c r="H464" s="162" t="s">
        <v>30</v>
      </c>
      <c r="I464" s="216"/>
      <c r="J464" s="216"/>
      <c r="K464" s="175" t="s">
        <v>391</v>
      </c>
      <c r="L464" s="176"/>
      <c r="M464" s="176"/>
    </row>
    <row r="465" spans="1:13" ht="15.75" hidden="1" customHeight="1">
      <c r="A465" s="157"/>
      <c r="B465" s="158" t="str">
        <f t="shared" si="9"/>
        <v>7112101</v>
      </c>
      <c r="C465" s="177" t="s">
        <v>646</v>
      </c>
      <c r="D465" s="160" t="s">
        <v>567</v>
      </c>
      <c r="E465" s="160" t="s">
        <v>655</v>
      </c>
      <c r="F465" s="177" t="s">
        <v>929</v>
      </c>
      <c r="G465" s="162">
        <v>3</v>
      </c>
      <c r="H465" s="162"/>
      <c r="I465" s="162"/>
      <c r="J465" s="162"/>
      <c r="K465" s="175" t="s">
        <v>391</v>
      </c>
      <c r="L465" s="176"/>
      <c r="M465" s="176"/>
    </row>
    <row r="466" spans="1:13" ht="15.75" hidden="1" customHeight="1">
      <c r="A466" s="157"/>
      <c r="B466" s="202" t="str">
        <f t="shared" si="9"/>
        <v>7118000</v>
      </c>
      <c r="C466" s="203" t="s">
        <v>646</v>
      </c>
      <c r="D466" s="204" t="s">
        <v>660</v>
      </c>
      <c r="E466" s="204" t="s">
        <v>370</v>
      </c>
      <c r="F466" s="203" t="s">
        <v>241</v>
      </c>
      <c r="G466" s="184">
        <v>2</v>
      </c>
      <c r="H466" s="162" t="s">
        <v>30</v>
      </c>
      <c r="I466" s="216"/>
      <c r="J466" s="216"/>
      <c r="K466" s="175" t="s">
        <v>391</v>
      </c>
      <c r="L466" s="176"/>
      <c r="M466" s="176"/>
    </row>
    <row r="467" spans="1:13" ht="15.75" hidden="1" customHeight="1">
      <c r="A467" s="157"/>
      <c r="B467" s="158" t="str">
        <f t="shared" si="9"/>
        <v>7118101</v>
      </c>
      <c r="C467" s="177" t="s">
        <v>646</v>
      </c>
      <c r="D467" s="160" t="s">
        <v>586</v>
      </c>
      <c r="E467" s="160" t="s">
        <v>655</v>
      </c>
      <c r="F467" s="177" t="s">
        <v>241</v>
      </c>
      <c r="G467" s="162">
        <v>3</v>
      </c>
      <c r="H467" s="162"/>
      <c r="I467" s="162"/>
      <c r="J467" s="162"/>
      <c r="K467" s="175" t="s">
        <v>391</v>
      </c>
      <c r="L467" s="176"/>
      <c r="M467" s="176"/>
    </row>
    <row r="468" spans="1:13" ht="15.75" hidden="1" customHeight="1">
      <c r="A468" s="157"/>
      <c r="B468" s="170" t="str">
        <f t="shared" si="9"/>
        <v>8110000</v>
      </c>
      <c r="C468" s="171" t="s">
        <v>647</v>
      </c>
      <c r="D468" s="172" t="s">
        <v>370</v>
      </c>
      <c r="E468" s="172" t="s">
        <v>370</v>
      </c>
      <c r="F468" s="171" t="s">
        <v>242</v>
      </c>
      <c r="G468" s="178">
        <v>1</v>
      </c>
      <c r="H468" s="197" t="s">
        <v>30</v>
      </c>
      <c r="I468" s="201"/>
      <c r="J468" s="201"/>
      <c r="K468" s="177" t="s">
        <v>530</v>
      </c>
      <c r="L468" s="176"/>
      <c r="M468" s="176"/>
    </row>
    <row r="469" spans="1:13" ht="15.75" hidden="1" customHeight="1">
      <c r="A469" s="157"/>
      <c r="B469" s="202" t="str">
        <f t="shared" si="9"/>
        <v>8111000</v>
      </c>
      <c r="C469" s="203" t="s">
        <v>647</v>
      </c>
      <c r="D469" s="204" t="s">
        <v>569</v>
      </c>
      <c r="E469" s="204" t="s">
        <v>370</v>
      </c>
      <c r="F469" s="203" t="s">
        <v>242</v>
      </c>
      <c r="G469" s="184">
        <v>2</v>
      </c>
      <c r="H469" s="162" t="s">
        <v>30</v>
      </c>
      <c r="I469" s="216"/>
      <c r="J469" s="216"/>
      <c r="K469" s="177" t="s">
        <v>530</v>
      </c>
      <c r="L469" s="176"/>
      <c r="M469" s="176"/>
    </row>
    <row r="470" spans="1:13" ht="15.75" hidden="1" customHeight="1">
      <c r="A470" s="157"/>
      <c r="B470" s="158" t="str">
        <f t="shared" si="9"/>
        <v>8111101</v>
      </c>
      <c r="C470" s="177" t="s">
        <v>647</v>
      </c>
      <c r="D470" s="160" t="s">
        <v>566</v>
      </c>
      <c r="E470" s="160" t="s">
        <v>655</v>
      </c>
      <c r="F470" s="177" t="s">
        <v>243</v>
      </c>
      <c r="G470" s="162">
        <v>3</v>
      </c>
      <c r="H470" s="162"/>
      <c r="I470" s="162"/>
      <c r="J470" s="162"/>
      <c r="K470" s="177" t="s">
        <v>530</v>
      </c>
      <c r="L470" s="176"/>
      <c r="M470" s="176"/>
    </row>
    <row r="471" spans="1:13" ht="15.75" hidden="1" customHeight="1">
      <c r="A471" s="157"/>
      <c r="B471" s="158" t="str">
        <f t="shared" si="9"/>
        <v>8111102</v>
      </c>
      <c r="C471" s="177" t="s">
        <v>647</v>
      </c>
      <c r="D471" s="160" t="s">
        <v>566</v>
      </c>
      <c r="E471" s="160" t="s">
        <v>657</v>
      </c>
      <c r="F471" s="177" t="s">
        <v>244</v>
      </c>
      <c r="G471" s="162">
        <v>3</v>
      </c>
      <c r="H471" s="186"/>
      <c r="I471" s="162"/>
      <c r="J471" s="162"/>
      <c r="K471" s="177" t="s">
        <v>530</v>
      </c>
      <c r="L471" s="176"/>
      <c r="M471" s="176"/>
    </row>
    <row r="472" spans="1:13" ht="15.75" hidden="1" customHeight="1">
      <c r="A472" s="157"/>
      <c r="B472" s="202" t="str">
        <f t="shared" si="9"/>
        <v>8118000</v>
      </c>
      <c r="C472" s="203" t="s">
        <v>647</v>
      </c>
      <c r="D472" s="204" t="s">
        <v>660</v>
      </c>
      <c r="E472" s="204" t="s">
        <v>370</v>
      </c>
      <c r="F472" s="203" t="s">
        <v>245</v>
      </c>
      <c r="G472" s="184">
        <v>2</v>
      </c>
      <c r="H472" s="162" t="s">
        <v>30</v>
      </c>
      <c r="I472" s="216"/>
      <c r="J472" s="216"/>
      <c r="K472" s="177" t="s">
        <v>530</v>
      </c>
      <c r="L472" s="176"/>
      <c r="M472" s="176"/>
    </row>
    <row r="473" spans="1:13" ht="15.75" hidden="1" customHeight="1">
      <c r="A473" s="157"/>
      <c r="B473" s="235" t="str">
        <f t="shared" si="9"/>
        <v>8118101</v>
      </c>
      <c r="C473" s="236" t="s">
        <v>647</v>
      </c>
      <c r="D473" s="237" t="s">
        <v>586</v>
      </c>
      <c r="E473" s="237" t="s">
        <v>655</v>
      </c>
      <c r="F473" s="236" t="s">
        <v>793</v>
      </c>
      <c r="G473" s="162">
        <v>3</v>
      </c>
      <c r="H473" s="162"/>
      <c r="I473" s="162"/>
      <c r="J473" s="162"/>
      <c r="K473" s="177" t="s">
        <v>530</v>
      </c>
      <c r="L473" s="176"/>
      <c r="M473" s="176"/>
    </row>
    <row r="474" spans="1:13" ht="15.75" hidden="1" customHeight="1">
      <c r="A474" s="157"/>
      <c r="B474" s="158" t="str">
        <f t="shared" si="9"/>
        <v>8118102</v>
      </c>
      <c r="C474" s="177" t="s">
        <v>647</v>
      </c>
      <c r="D474" s="160" t="s">
        <v>586</v>
      </c>
      <c r="E474" s="160" t="s">
        <v>657</v>
      </c>
      <c r="F474" s="177" t="s">
        <v>245</v>
      </c>
      <c r="G474" s="162">
        <v>3</v>
      </c>
      <c r="H474" s="162"/>
      <c r="I474" s="162"/>
      <c r="J474" s="162"/>
      <c r="K474" s="177" t="s">
        <v>530</v>
      </c>
      <c r="L474" s="176"/>
      <c r="M474" s="176"/>
    </row>
    <row r="475" spans="1:13" ht="15.75" hidden="1" customHeight="1">
      <c r="A475" s="157"/>
      <c r="B475" s="170" t="str">
        <f t="shared" si="9"/>
        <v>8210000</v>
      </c>
      <c r="C475" s="171" t="s">
        <v>648</v>
      </c>
      <c r="D475" s="172" t="s">
        <v>370</v>
      </c>
      <c r="E475" s="172" t="s">
        <v>370</v>
      </c>
      <c r="F475" s="171" t="s">
        <v>246</v>
      </c>
      <c r="G475" s="178">
        <v>1</v>
      </c>
      <c r="H475" s="197" t="s">
        <v>30</v>
      </c>
      <c r="I475" s="201"/>
      <c r="J475" s="201"/>
      <c r="K475" s="177" t="s">
        <v>530</v>
      </c>
      <c r="L475" s="176"/>
      <c r="M475" s="176"/>
    </row>
    <row r="476" spans="1:13" ht="15.75" hidden="1" customHeight="1">
      <c r="A476" s="157"/>
      <c r="B476" s="202" t="str">
        <f t="shared" si="9"/>
        <v>8211000</v>
      </c>
      <c r="C476" s="203" t="s">
        <v>648</v>
      </c>
      <c r="D476" s="204" t="s">
        <v>569</v>
      </c>
      <c r="E476" s="204" t="s">
        <v>370</v>
      </c>
      <c r="F476" s="203" t="s">
        <v>247</v>
      </c>
      <c r="G476" s="184">
        <v>2</v>
      </c>
      <c r="H476" s="162" t="s">
        <v>30</v>
      </c>
      <c r="I476" s="216"/>
      <c r="J476" s="216"/>
      <c r="K476" s="177" t="s">
        <v>530</v>
      </c>
      <c r="L476" s="176"/>
      <c r="M476" s="176"/>
    </row>
    <row r="477" spans="1:13" ht="15.75" hidden="1" customHeight="1">
      <c r="A477" s="157"/>
      <c r="B477" s="158" t="str">
        <f t="shared" si="9"/>
        <v>8211101</v>
      </c>
      <c r="C477" s="177" t="s">
        <v>648</v>
      </c>
      <c r="D477" s="160" t="s">
        <v>566</v>
      </c>
      <c r="E477" s="160" t="s">
        <v>655</v>
      </c>
      <c r="F477" s="177" t="s">
        <v>247</v>
      </c>
      <c r="G477" s="162">
        <v>3</v>
      </c>
      <c r="H477" s="162"/>
      <c r="I477" s="162"/>
      <c r="J477" s="162"/>
      <c r="K477" s="177" t="s">
        <v>530</v>
      </c>
      <c r="L477" s="176"/>
      <c r="M477" s="176"/>
    </row>
    <row r="478" spans="1:13" ht="15.75" hidden="1" customHeight="1">
      <c r="A478" s="157"/>
      <c r="B478" s="202" t="str">
        <f t="shared" si="9"/>
        <v>8212000</v>
      </c>
      <c r="C478" s="203" t="s">
        <v>648</v>
      </c>
      <c r="D478" s="204" t="s">
        <v>578</v>
      </c>
      <c r="E478" s="204" t="s">
        <v>370</v>
      </c>
      <c r="F478" s="203" t="s">
        <v>248</v>
      </c>
      <c r="G478" s="184">
        <v>2</v>
      </c>
      <c r="H478" s="162" t="s">
        <v>30</v>
      </c>
      <c r="I478" s="216"/>
      <c r="J478" s="216"/>
      <c r="K478" s="177" t="s">
        <v>530</v>
      </c>
      <c r="L478" s="176"/>
      <c r="M478" s="176"/>
    </row>
    <row r="479" spans="1:13" ht="15.75" hidden="1" customHeight="1">
      <c r="A479" s="157"/>
      <c r="B479" s="158" t="str">
        <f t="shared" si="9"/>
        <v>8212101</v>
      </c>
      <c r="C479" s="177" t="s">
        <v>648</v>
      </c>
      <c r="D479" s="160" t="s">
        <v>567</v>
      </c>
      <c r="E479" s="160" t="s">
        <v>655</v>
      </c>
      <c r="F479" s="177" t="s">
        <v>248</v>
      </c>
      <c r="G479" s="162">
        <v>3</v>
      </c>
      <c r="H479" s="162"/>
      <c r="I479" s="162"/>
      <c r="J479" s="162"/>
      <c r="K479" s="177" t="s">
        <v>530</v>
      </c>
      <c r="L479" s="176"/>
      <c r="M479" s="176"/>
    </row>
    <row r="480" spans="1:13" ht="15.75" hidden="1" customHeight="1">
      <c r="A480" s="157"/>
      <c r="B480" s="170" t="str">
        <f t="shared" si="9"/>
        <v>9110000</v>
      </c>
      <c r="C480" s="171" t="s">
        <v>649</v>
      </c>
      <c r="D480" s="172" t="s">
        <v>370</v>
      </c>
      <c r="E480" s="172" t="s">
        <v>370</v>
      </c>
      <c r="F480" s="171" t="s">
        <v>249</v>
      </c>
      <c r="G480" s="178">
        <v>1</v>
      </c>
      <c r="H480" s="197" t="s">
        <v>30</v>
      </c>
      <c r="I480" s="201"/>
      <c r="J480" s="201"/>
      <c r="K480" s="177" t="s">
        <v>529</v>
      </c>
      <c r="L480" s="176"/>
      <c r="M480" s="176"/>
    </row>
    <row r="481" spans="1:13" ht="15.75" hidden="1" customHeight="1">
      <c r="A481" s="157"/>
      <c r="B481" s="202" t="str">
        <f t="shared" si="9"/>
        <v>9111000</v>
      </c>
      <c r="C481" s="203" t="s">
        <v>649</v>
      </c>
      <c r="D481" s="204" t="s">
        <v>569</v>
      </c>
      <c r="E481" s="204" t="s">
        <v>370</v>
      </c>
      <c r="F481" s="203" t="s">
        <v>249</v>
      </c>
      <c r="G481" s="184">
        <v>2</v>
      </c>
      <c r="H481" s="162" t="s">
        <v>30</v>
      </c>
      <c r="I481" s="218"/>
      <c r="J481" s="218"/>
      <c r="K481" s="177" t="s">
        <v>529</v>
      </c>
      <c r="L481" s="176"/>
      <c r="M481" s="176"/>
    </row>
    <row r="482" spans="1:13" ht="15.75" hidden="1" customHeight="1">
      <c r="A482" s="157"/>
      <c r="B482" s="158" t="str">
        <f t="shared" si="9"/>
        <v>9111101</v>
      </c>
      <c r="C482" s="177" t="s">
        <v>649</v>
      </c>
      <c r="D482" s="160" t="s">
        <v>566</v>
      </c>
      <c r="E482" s="160" t="s">
        <v>655</v>
      </c>
      <c r="F482" s="177" t="s">
        <v>249</v>
      </c>
      <c r="G482" s="162">
        <v>3</v>
      </c>
      <c r="H482" s="162"/>
      <c r="I482" s="189"/>
      <c r="J482" s="189"/>
      <c r="K482" s="177" t="s">
        <v>529</v>
      </c>
      <c r="L482" s="176"/>
      <c r="M482" s="176"/>
    </row>
    <row r="483" spans="1:13" ht="15.75" customHeight="1">
      <c r="A483" s="152"/>
      <c r="B483" s="148"/>
      <c r="C483" s="152"/>
      <c r="D483" s="152"/>
      <c r="E483" s="152"/>
      <c r="F483" s="154"/>
      <c r="G483" s="155"/>
      <c r="H483" s="198"/>
      <c r="I483" s="219"/>
      <c r="J483" s="219"/>
    </row>
    <row r="484" spans="1:13" ht="15.75" customHeight="1">
      <c r="A484" s="152"/>
      <c r="B484" s="148"/>
      <c r="C484" s="152"/>
      <c r="D484" s="152"/>
      <c r="E484" s="152"/>
      <c r="F484" s="154"/>
      <c r="G484" s="155"/>
      <c r="H484" s="198"/>
      <c r="I484" s="219"/>
      <c r="J484" s="219"/>
    </row>
    <row r="485" spans="1:13" ht="15.75" customHeight="1">
      <c r="A485" s="152"/>
      <c r="B485" s="148"/>
      <c r="C485" s="152"/>
      <c r="D485" s="152"/>
      <c r="E485" s="152"/>
      <c r="F485" s="154"/>
      <c r="G485" s="155"/>
      <c r="H485" s="198"/>
      <c r="I485" s="219"/>
      <c r="J485" s="219"/>
    </row>
    <row r="486" spans="1:13" ht="15.75" customHeight="1">
      <c r="A486" s="152"/>
      <c r="B486" s="148"/>
      <c r="C486" s="152"/>
      <c r="D486" s="152"/>
      <c r="E486" s="152"/>
      <c r="F486" s="154"/>
      <c r="G486" s="155"/>
      <c r="H486" s="198"/>
      <c r="I486" s="219"/>
      <c r="J486" s="219"/>
    </row>
    <row r="487" spans="1:13" ht="15.75" customHeight="1">
      <c r="A487" s="152"/>
      <c r="B487" s="148"/>
      <c r="C487" s="152"/>
      <c r="D487" s="152"/>
      <c r="E487" s="152"/>
      <c r="F487" s="154"/>
      <c r="G487" s="155"/>
      <c r="H487" s="198"/>
      <c r="I487" s="219"/>
      <c r="J487" s="219"/>
    </row>
    <row r="488" spans="1:13" ht="15.75" customHeight="1">
      <c r="A488" s="152"/>
      <c r="B488" s="148"/>
      <c r="C488" s="152"/>
      <c r="D488" s="152"/>
      <c r="E488" s="152"/>
      <c r="F488" s="154"/>
      <c r="G488" s="155"/>
      <c r="H488" s="198"/>
      <c r="I488" s="219"/>
      <c r="J488" s="219"/>
    </row>
    <row r="489" spans="1:13" ht="15.75" customHeight="1">
      <c r="A489" s="152"/>
      <c r="B489" s="148"/>
      <c r="C489" s="152"/>
      <c r="D489" s="152"/>
      <c r="E489" s="152"/>
      <c r="F489" s="154"/>
      <c r="G489" s="155"/>
      <c r="H489" s="198"/>
      <c r="I489" s="219"/>
      <c r="J489" s="219"/>
    </row>
    <row r="490" spans="1:13" ht="15.75" customHeight="1">
      <c r="A490" s="152"/>
      <c r="B490" s="148"/>
      <c r="C490" s="152"/>
      <c r="D490" s="152"/>
      <c r="E490" s="152"/>
      <c r="F490" s="154"/>
      <c r="G490" s="155"/>
      <c r="H490" s="198"/>
      <c r="I490" s="219"/>
      <c r="J490" s="219"/>
    </row>
    <row r="491" spans="1:13" ht="15.75" customHeight="1">
      <c r="A491" s="152"/>
      <c r="B491" s="148"/>
      <c r="C491" s="152"/>
      <c r="D491" s="152"/>
      <c r="E491" s="152"/>
      <c r="F491" s="154"/>
      <c r="G491" s="155"/>
      <c r="H491" s="198"/>
      <c r="I491" s="219"/>
      <c r="J491" s="219"/>
    </row>
    <row r="492" spans="1:13" ht="15.75" customHeight="1">
      <c r="A492" s="152"/>
      <c r="B492" s="148"/>
      <c r="C492" s="152"/>
      <c r="D492" s="152"/>
      <c r="E492" s="152"/>
      <c r="F492" s="154"/>
      <c r="G492" s="155"/>
      <c r="H492" s="198"/>
      <c r="I492" s="219"/>
      <c r="J492" s="219"/>
    </row>
    <row r="493" spans="1:13" ht="15.75" customHeight="1">
      <c r="A493" s="152"/>
      <c r="B493" s="148"/>
      <c r="C493" s="152"/>
      <c r="D493" s="152"/>
      <c r="E493" s="152"/>
      <c r="F493" s="154"/>
      <c r="G493" s="155"/>
      <c r="H493" s="198"/>
      <c r="I493" s="219"/>
      <c r="J493" s="219"/>
    </row>
    <row r="494" spans="1:13" ht="15.75" customHeight="1">
      <c r="A494" s="149"/>
      <c r="B494" s="153"/>
      <c r="C494" s="149"/>
      <c r="D494" s="149"/>
      <c r="E494" s="149"/>
      <c r="F494" s="150"/>
      <c r="G494" s="156"/>
      <c r="H494" s="199"/>
      <c r="I494" s="220"/>
      <c r="J494" s="220"/>
    </row>
    <row r="495" spans="1:13" ht="15.75" customHeight="1"/>
    <row r="496" spans="1:1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</sheetData>
  <autoFilter ref="A4:N482" xr:uid="{C2AD15DD-EC2C-4BCC-85BA-E2D5C9065957}">
    <filterColumn colId="1">
      <filters>
        <filter val="1131000"/>
        <filter val="1131101"/>
        <filter val="1131102"/>
        <filter val="1310000"/>
        <filter val="1311000"/>
        <filter val="1311101"/>
        <filter val="1312000"/>
        <filter val="1312101"/>
        <filter val="1319000"/>
        <filter val="1319101"/>
        <filter val="2113101"/>
        <filter val="2131000"/>
        <filter val="2131101"/>
        <filter val="2413101"/>
        <filter val="4113101"/>
        <filter val="4131000"/>
        <filter val="4131101"/>
        <filter val="5113101"/>
        <filter val="5213101"/>
        <filter val="6413101"/>
      </filters>
    </filterColumn>
  </autoFilter>
  <phoneticPr fontId="3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Z1000"/>
  <sheetViews>
    <sheetView workbookViewId="0"/>
  </sheetViews>
  <sheetFormatPr defaultColWidth="12.59765625" defaultRowHeight="15" customHeight="1"/>
  <cols>
    <col min="1" max="1" width="13.09765625" customWidth="1"/>
    <col min="2" max="2" width="41" customWidth="1"/>
    <col min="3" max="26" width="8.19921875" customWidth="1"/>
  </cols>
  <sheetData>
    <row r="1" spans="1:26" ht="13.5" customHeight="1">
      <c r="A1" s="1" t="s">
        <v>250</v>
      </c>
      <c r="B1" s="1"/>
      <c r="C1" s="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32" t="s">
        <v>26</v>
      </c>
      <c r="B3" s="32" t="s">
        <v>27</v>
      </c>
      <c r="C3" s="32" t="s">
        <v>28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47" t="s">
        <v>251</v>
      </c>
      <c r="B4" s="33" t="s">
        <v>252</v>
      </c>
      <c r="C4" s="3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48" t="s">
        <v>253</v>
      </c>
      <c r="B5" s="35" t="s">
        <v>254</v>
      </c>
      <c r="C5" s="3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48" t="s">
        <v>255</v>
      </c>
      <c r="B6" s="35" t="s">
        <v>256</v>
      </c>
      <c r="C6" s="3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48" t="s">
        <v>257</v>
      </c>
      <c r="B7" s="35" t="s">
        <v>258</v>
      </c>
      <c r="C7" s="3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48" t="s">
        <v>259</v>
      </c>
      <c r="B8" s="35" t="s">
        <v>260</v>
      </c>
      <c r="C8" s="3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49" t="s">
        <v>261</v>
      </c>
      <c r="B9" s="37" t="s">
        <v>262</v>
      </c>
      <c r="C9" s="3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69930555555555596" right="0.69930555555555596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244061"/>
  </sheetPr>
  <dimension ref="A1:Y988"/>
  <sheetViews>
    <sheetView showGridLines="0" workbookViewId="0">
      <pane xSplit="6" ySplit="3" topLeftCell="G147" activePane="bottomRight" state="frozen"/>
      <selection activeCell="I7" sqref="I7"/>
      <selection pane="topRight" activeCell="I7" sqref="I7"/>
      <selection pane="bottomLeft" activeCell="I7" sqref="I7"/>
      <selection pane="bottomRight" activeCell="C160" sqref="C160"/>
    </sheetView>
  </sheetViews>
  <sheetFormatPr defaultColWidth="12.59765625" defaultRowHeight="15" customHeight="1"/>
  <cols>
    <col min="1" max="1" width="8.09765625" style="240" customWidth="1"/>
    <col min="2" max="2" width="52" style="240" customWidth="1"/>
    <col min="3" max="3" width="7.5" style="240" customWidth="1"/>
    <col min="4" max="5" width="9.09765625" style="240" customWidth="1"/>
    <col min="6" max="6" width="12.69921875" style="240" customWidth="1"/>
    <col min="7" max="7" width="8.09765625" style="240" customWidth="1"/>
    <col min="8" max="8" width="23.296875" style="240" customWidth="1"/>
    <col min="9" max="12" width="12.19921875" style="261" customWidth="1"/>
    <col min="13" max="13" width="27.69921875" style="240" customWidth="1"/>
    <col min="14" max="25" width="9" style="240" customWidth="1"/>
    <col min="26" max="16384" width="12.59765625" style="240"/>
  </cols>
  <sheetData>
    <row r="1" spans="1:25" ht="20.25" customHeight="1">
      <c r="A1" s="230" t="s">
        <v>547</v>
      </c>
      <c r="B1" s="231"/>
      <c r="C1" s="231"/>
      <c r="D1" s="231"/>
      <c r="E1" s="231"/>
      <c r="F1" s="231"/>
      <c r="G1" s="231"/>
      <c r="H1" s="231"/>
      <c r="I1" s="258"/>
      <c r="J1" s="258"/>
      <c r="K1" s="258"/>
      <c r="L1" s="258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</row>
    <row r="2" spans="1:25" ht="20.25" customHeight="1">
      <c r="A2" s="257" t="s">
        <v>922</v>
      </c>
      <c r="B2" s="257"/>
      <c r="C2" s="257"/>
      <c r="D2" s="231"/>
      <c r="E2" s="231"/>
      <c r="F2" s="231"/>
      <c r="G2" s="231"/>
      <c r="H2" s="231"/>
      <c r="I2" s="258"/>
      <c r="J2" s="267" t="s">
        <v>932</v>
      </c>
      <c r="K2" s="258"/>
      <c r="L2" s="258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</row>
    <row r="3" spans="1:25" s="244" customFormat="1" ht="26.4">
      <c r="A3" s="247" t="s">
        <v>263</v>
      </c>
      <c r="B3" s="248" t="s">
        <v>264</v>
      </c>
      <c r="C3" s="248" t="s">
        <v>685</v>
      </c>
      <c r="D3" s="248" t="s">
        <v>28</v>
      </c>
      <c r="E3" s="248" t="s">
        <v>265</v>
      </c>
      <c r="F3" s="268" t="s">
        <v>266</v>
      </c>
      <c r="G3" s="247" t="s">
        <v>934</v>
      </c>
      <c r="H3" s="248" t="s">
        <v>935</v>
      </c>
      <c r="I3" s="262" t="s">
        <v>686</v>
      </c>
      <c r="J3" s="262" t="s">
        <v>687</v>
      </c>
      <c r="K3" s="262" t="s">
        <v>688</v>
      </c>
      <c r="L3" s="262" t="s">
        <v>936</v>
      </c>
      <c r="M3" s="242" t="s">
        <v>666</v>
      </c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</row>
    <row r="4" spans="1:25" ht="26.25" customHeight="1">
      <c r="A4" s="297">
        <v>11000</v>
      </c>
      <c r="B4" s="298" t="s">
        <v>533</v>
      </c>
      <c r="C4" s="298" t="s">
        <v>689</v>
      </c>
      <c r="D4" s="299" t="s">
        <v>30</v>
      </c>
      <c r="E4" s="299" t="s">
        <v>267</v>
      </c>
      <c r="F4" s="300"/>
      <c r="G4" s="301"/>
      <c r="H4" s="299"/>
      <c r="I4" s="263"/>
      <c r="J4" s="263"/>
      <c r="K4" s="263"/>
      <c r="L4" s="263"/>
      <c r="M4" s="298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</row>
    <row r="5" spans="1:25" ht="20.25" customHeight="1">
      <c r="A5" s="291">
        <v>11001</v>
      </c>
      <c r="B5" s="239" t="s">
        <v>534</v>
      </c>
      <c r="C5" s="239" t="s">
        <v>689</v>
      </c>
      <c r="D5" s="299"/>
      <c r="E5" s="299" t="s">
        <v>269</v>
      </c>
      <c r="F5" s="302" t="str">
        <f>'Seg 2_Account'!B8</f>
        <v>1111101</v>
      </c>
      <c r="G5" s="303"/>
      <c r="H5" s="304"/>
      <c r="I5" s="263"/>
      <c r="J5" s="263"/>
      <c r="K5" s="263"/>
      <c r="L5" s="263"/>
      <c r="M5" s="298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</row>
    <row r="6" spans="1:25" ht="20.25" customHeight="1">
      <c r="A6" s="291">
        <f t="shared" ref="A6:A10" si="0">A5+1</f>
        <v>11002</v>
      </c>
      <c r="B6" s="239" t="s">
        <v>794</v>
      </c>
      <c r="C6" s="239" t="s">
        <v>689</v>
      </c>
      <c r="D6" s="299"/>
      <c r="E6" s="299" t="s">
        <v>269</v>
      </c>
      <c r="F6" s="302" t="str">
        <f>$F$5</f>
        <v>1111101</v>
      </c>
      <c r="G6" s="303"/>
      <c r="H6" s="304"/>
      <c r="I6" s="263"/>
      <c r="J6" s="263"/>
      <c r="K6" s="263"/>
      <c r="L6" s="263"/>
      <c r="M6" s="239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</row>
    <row r="7" spans="1:25" ht="20.25" customHeight="1">
      <c r="A7" s="291">
        <f t="shared" si="0"/>
        <v>11003</v>
      </c>
      <c r="B7" s="239" t="s">
        <v>795</v>
      </c>
      <c r="C7" s="239" t="s">
        <v>689</v>
      </c>
      <c r="D7" s="299"/>
      <c r="E7" s="299" t="s">
        <v>269</v>
      </c>
      <c r="F7" s="302" t="str">
        <f t="shared" ref="F7:F10" si="1">$F$5</f>
        <v>1111101</v>
      </c>
      <c r="G7" s="303"/>
      <c r="H7" s="304"/>
      <c r="I7" s="263"/>
      <c r="J7" s="263"/>
      <c r="K7" s="263"/>
      <c r="L7" s="263"/>
      <c r="M7" s="239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</row>
    <row r="8" spans="1:25" ht="20.25" customHeight="1">
      <c r="A8" s="291">
        <f t="shared" si="0"/>
        <v>11004</v>
      </c>
      <c r="B8" s="239" t="s">
        <v>796</v>
      </c>
      <c r="C8" s="239" t="s">
        <v>689</v>
      </c>
      <c r="D8" s="299"/>
      <c r="E8" s="299" t="s">
        <v>269</v>
      </c>
      <c r="F8" s="302" t="str">
        <f t="shared" si="1"/>
        <v>1111101</v>
      </c>
      <c r="G8" s="303"/>
      <c r="H8" s="304"/>
      <c r="I8" s="264"/>
      <c r="J8" s="264"/>
      <c r="K8" s="264"/>
      <c r="L8" s="264"/>
      <c r="M8" s="298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</row>
    <row r="9" spans="1:25" ht="20.25" customHeight="1">
      <c r="A9" s="291">
        <f t="shared" si="0"/>
        <v>11005</v>
      </c>
      <c r="B9" s="239" t="s">
        <v>797</v>
      </c>
      <c r="C9" s="239" t="s">
        <v>689</v>
      </c>
      <c r="D9" s="299"/>
      <c r="E9" s="299" t="s">
        <v>269</v>
      </c>
      <c r="F9" s="302" t="str">
        <f t="shared" si="1"/>
        <v>1111101</v>
      </c>
      <c r="G9" s="303"/>
      <c r="H9" s="304"/>
      <c r="I9" s="263"/>
      <c r="J9" s="263"/>
      <c r="K9" s="263"/>
      <c r="L9" s="263"/>
      <c r="M9" s="239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</row>
    <row r="10" spans="1:25" ht="20.25" customHeight="1">
      <c r="A10" s="291">
        <f t="shared" si="0"/>
        <v>11006</v>
      </c>
      <c r="B10" s="239" t="s">
        <v>798</v>
      </c>
      <c r="C10" s="239" t="s">
        <v>689</v>
      </c>
      <c r="D10" s="299"/>
      <c r="E10" s="299" t="s">
        <v>269</v>
      </c>
      <c r="F10" s="302" t="str">
        <f t="shared" si="1"/>
        <v>1111101</v>
      </c>
      <c r="G10" s="303"/>
      <c r="H10" s="304"/>
      <c r="I10" s="263"/>
      <c r="J10" s="263"/>
      <c r="K10" s="263"/>
      <c r="L10" s="263"/>
      <c r="M10" s="239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</row>
    <row r="11" spans="1:25" ht="20.25" customHeight="1">
      <c r="A11" s="297">
        <v>12000</v>
      </c>
      <c r="B11" s="298" t="s">
        <v>872</v>
      </c>
      <c r="C11" s="298" t="s">
        <v>689</v>
      </c>
      <c r="D11" s="239" t="s">
        <v>30</v>
      </c>
      <c r="E11" s="239">
        <v>1</v>
      </c>
      <c r="F11" s="305"/>
      <c r="G11" s="306"/>
      <c r="H11" s="307"/>
      <c r="I11" s="260"/>
      <c r="J11" s="260"/>
      <c r="K11" s="260"/>
      <c r="L11" s="260"/>
      <c r="M11" s="239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</row>
    <row r="12" spans="1:25" ht="20.25" customHeight="1">
      <c r="A12" s="291">
        <v>12001</v>
      </c>
      <c r="B12" s="239" t="s">
        <v>535</v>
      </c>
      <c r="C12" s="239" t="s">
        <v>689</v>
      </c>
      <c r="D12" s="239"/>
      <c r="E12" s="239">
        <v>2</v>
      </c>
      <c r="F12" s="267" t="str">
        <f>'Seg 2_Account'!B13</f>
        <v>1121101</v>
      </c>
      <c r="G12" s="291"/>
      <c r="H12" s="239"/>
      <c r="I12" s="260"/>
      <c r="J12" s="260"/>
      <c r="K12" s="260"/>
      <c r="L12" s="260"/>
      <c r="M12" s="239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</row>
    <row r="13" spans="1:25" ht="20.25" customHeight="1">
      <c r="A13" s="291">
        <f t="shared" ref="A13:A18" si="2">A12+1</f>
        <v>12002</v>
      </c>
      <c r="B13" s="239" t="s">
        <v>536</v>
      </c>
      <c r="C13" s="239" t="s">
        <v>689</v>
      </c>
      <c r="D13" s="239"/>
      <c r="E13" s="239">
        <v>2</v>
      </c>
      <c r="F13" s="267" t="str">
        <f>'Seg 2_Account'!B14</f>
        <v>1121102</v>
      </c>
      <c r="G13" s="291"/>
      <c r="H13" s="239"/>
      <c r="I13" s="260"/>
      <c r="J13" s="260"/>
      <c r="K13" s="260"/>
      <c r="L13" s="260"/>
      <c r="M13" s="239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</row>
    <row r="14" spans="1:25" ht="20.25" customHeight="1">
      <c r="A14" s="291">
        <f t="shared" si="2"/>
        <v>12003</v>
      </c>
      <c r="B14" s="239" t="s">
        <v>537</v>
      </c>
      <c r="C14" s="239" t="s">
        <v>689</v>
      </c>
      <c r="D14" s="239"/>
      <c r="E14" s="239">
        <v>2</v>
      </c>
      <c r="F14" s="267" t="str">
        <f>$F$13</f>
        <v>1121102</v>
      </c>
      <c r="G14" s="291"/>
      <c r="H14" s="239"/>
      <c r="I14" s="260"/>
      <c r="J14" s="260"/>
      <c r="K14" s="260"/>
      <c r="L14" s="260"/>
      <c r="M14" s="239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</row>
    <row r="15" spans="1:25" ht="20.25" customHeight="1">
      <c r="A15" s="291">
        <f t="shared" si="2"/>
        <v>12004</v>
      </c>
      <c r="B15" s="239" t="s">
        <v>538</v>
      </c>
      <c r="C15" s="239" t="s">
        <v>689</v>
      </c>
      <c r="D15" s="239"/>
      <c r="E15" s="239">
        <v>2</v>
      </c>
      <c r="F15" s="267" t="str">
        <f t="shared" ref="F15:F17" si="3">$F$13</f>
        <v>1121102</v>
      </c>
      <c r="G15" s="291"/>
      <c r="H15" s="239"/>
      <c r="I15" s="260"/>
      <c r="J15" s="260"/>
      <c r="K15" s="260"/>
      <c r="L15" s="260"/>
      <c r="M15" s="239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</row>
    <row r="16" spans="1:25" ht="20.25" customHeight="1">
      <c r="A16" s="291">
        <f t="shared" si="2"/>
        <v>12005</v>
      </c>
      <c r="B16" s="239" t="s">
        <v>539</v>
      </c>
      <c r="C16" s="239" t="s">
        <v>689</v>
      </c>
      <c r="D16" s="239"/>
      <c r="E16" s="239">
        <v>2</v>
      </c>
      <c r="F16" s="267" t="str">
        <f t="shared" si="3"/>
        <v>1121102</v>
      </c>
      <c r="G16" s="291"/>
      <c r="H16" s="239"/>
      <c r="I16" s="260"/>
      <c r="J16" s="260"/>
      <c r="K16" s="260"/>
      <c r="L16" s="260"/>
      <c r="M16" s="239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</row>
    <row r="17" spans="1:25" ht="20.25" customHeight="1">
      <c r="A17" s="291">
        <f t="shared" si="2"/>
        <v>12006</v>
      </c>
      <c r="B17" s="239" t="s">
        <v>540</v>
      </c>
      <c r="C17" s="239" t="s">
        <v>689</v>
      </c>
      <c r="D17" s="239"/>
      <c r="E17" s="239">
        <v>2</v>
      </c>
      <c r="F17" s="267" t="str">
        <f t="shared" si="3"/>
        <v>1121102</v>
      </c>
      <c r="G17" s="291"/>
      <c r="H17" s="239"/>
      <c r="I17" s="260"/>
      <c r="J17" s="260"/>
      <c r="K17" s="260"/>
      <c r="L17" s="260"/>
      <c r="M17" s="239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</row>
    <row r="18" spans="1:25" ht="20.25" customHeight="1">
      <c r="A18" s="291">
        <f t="shared" si="2"/>
        <v>12007</v>
      </c>
      <c r="B18" s="239" t="s">
        <v>541</v>
      </c>
      <c r="C18" s="239" t="s">
        <v>689</v>
      </c>
      <c r="D18" s="239"/>
      <c r="E18" s="239">
        <v>2</v>
      </c>
      <c r="F18" s="267" t="str">
        <f>'Seg 2_Account'!B16</f>
        <v>1122101</v>
      </c>
      <c r="G18" s="291"/>
      <c r="H18" s="239"/>
      <c r="I18" s="260"/>
      <c r="J18" s="260"/>
      <c r="K18" s="260"/>
      <c r="L18" s="260"/>
      <c r="M18" s="239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</row>
    <row r="19" spans="1:25" ht="26.25" customHeight="1">
      <c r="A19" s="297">
        <v>24000</v>
      </c>
      <c r="B19" s="298" t="s">
        <v>108</v>
      </c>
      <c r="C19" s="298" t="s">
        <v>689</v>
      </c>
      <c r="D19" s="299" t="s">
        <v>30</v>
      </c>
      <c r="E19" s="299" t="s">
        <v>267</v>
      </c>
      <c r="F19" s="300"/>
      <c r="G19" s="301"/>
      <c r="H19" s="299"/>
      <c r="I19" s="263"/>
      <c r="J19" s="263"/>
      <c r="K19" s="263"/>
      <c r="L19" s="263"/>
      <c r="M19" s="239" t="s">
        <v>690</v>
      </c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</row>
    <row r="20" spans="1:25" s="337" customFormat="1" ht="20.25" customHeight="1">
      <c r="A20" s="333">
        <v>24001</v>
      </c>
      <c r="B20" s="334" t="s">
        <v>691</v>
      </c>
      <c r="C20" s="334" t="s">
        <v>689</v>
      </c>
      <c r="D20" s="334"/>
      <c r="E20" s="334">
        <v>2</v>
      </c>
      <c r="F20" s="335" t="str">
        <f>'Seg 2_Account'!$B$177</f>
        <v>2411101</v>
      </c>
      <c r="G20" s="338" t="e">
        <f>#REF!</f>
        <v>#REF!</v>
      </c>
      <c r="H20" s="338" t="e">
        <f>VLOOKUP($G20,#REF!,2,0)</f>
        <v>#REF!</v>
      </c>
      <c r="I20" s="336" t="s">
        <v>30</v>
      </c>
      <c r="J20" s="336" t="s">
        <v>531</v>
      </c>
      <c r="K20" s="336"/>
      <c r="L20" s="336" t="s">
        <v>531</v>
      </c>
      <c r="M20" s="334"/>
      <c r="N20" s="335" t="s">
        <v>972</v>
      </c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</row>
    <row r="21" spans="1:25" s="337" customFormat="1" ht="20.25" customHeight="1">
      <c r="A21" s="333">
        <f t="shared" ref="A21:A22" si="4">A20+1</f>
        <v>24002</v>
      </c>
      <c r="B21" s="334" t="s">
        <v>871</v>
      </c>
      <c r="C21" s="334" t="s">
        <v>689</v>
      </c>
      <c r="D21" s="334"/>
      <c r="E21" s="334">
        <v>2</v>
      </c>
      <c r="F21" s="335" t="str">
        <f>'Seg 2_Account'!B180</f>
        <v>2412101</v>
      </c>
      <c r="G21" s="338" t="e">
        <f>#REF!</f>
        <v>#REF!</v>
      </c>
      <c r="H21" s="338" t="e">
        <f>VLOOKUP($G21,#REF!,2,0)</f>
        <v>#REF!</v>
      </c>
      <c r="I21" s="336" t="s">
        <v>30</v>
      </c>
      <c r="J21" s="336" t="s">
        <v>531</v>
      </c>
      <c r="K21" s="336"/>
      <c r="L21" s="336" t="s">
        <v>531</v>
      </c>
      <c r="M21" s="334"/>
      <c r="N21" s="335" t="s">
        <v>972</v>
      </c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</row>
    <row r="22" spans="1:25" s="337" customFormat="1" ht="20.25" customHeight="1">
      <c r="A22" s="333">
        <f t="shared" si="4"/>
        <v>24003</v>
      </c>
      <c r="B22" s="334" t="s">
        <v>874</v>
      </c>
      <c r="C22" s="334" t="s">
        <v>689</v>
      </c>
      <c r="D22" s="334"/>
      <c r="E22" s="334">
        <v>2</v>
      </c>
      <c r="F22" s="335" t="str">
        <f>$F$21</f>
        <v>2412101</v>
      </c>
      <c r="G22" s="333" t="s">
        <v>937</v>
      </c>
      <c r="H22" s="334" t="s">
        <v>974</v>
      </c>
      <c r="I22" s="336" t="s">
        <v>30</v>
      </c>
      <c r="J22" s="336" t="s">
        <v>531</v>
      </c>
      <c r="K22" s="336"/>
      <c r="L22" s="336" t="s">
        <v>531</v>
      </c>
      <c r="M22" s="334"/>
      <c r="N22" s="335" t="s">
        <v>972</v>
      </c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</row>
    <row r="23" spans="1:25" ht="20.25" customHeight="1">
      <c r="A23" s="291">
        <f>A22+1</f>
        <v>24004</v>
      </c>
      <c r="B23" s="239" t="s">
        <v>82</v>
      </c>
      <c r="C23" s="239" t="s">
        <v>689</v>
      </c>
      <c r="D23" s="239"/>
      <c r="E23" s="239">
        <v>2</v>
      </c>
      <c r="F23" s="267" t="str">
        <f>$F$21</f>
        <v>2412101</v>
      </c>
      <c r="G23" s="291"/>
      <c r="H23" s="294"/>
      <c r="I23" s="260" t="s">
        <v>30</v>
      </c>
      <c r="J23" s="260"/>
      <c r="K23" s="260"/>
      <c r="L23" s="260"/>
      <c r="M23" s="239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</row>
    <row r="24" spans="1:25" s="337" customFormat="1" ht="20.25" customHeight="1">
      <c r="A24" s="333">
        <f>A23+1</f>
        <v>24005</v>
      </c>
      <c r="B24" s="334" t="s">
        <v>924</v>
      </c>
      <c r="C24" s="334" t="s">
        <v>689</v>
      </c>
      <c r="D24" s="334"/>
      <c r="E24" s="334">
        <v>2</v>
      </c>
      <c r="F24" s="335" t="str">
        <f>'Seg 2_Account'!$B$177</f>
        <v>2411101</v>
      </c>
      <c r="G24" s="333" t="e">
        <f>#REF!</f>
        <v>#REF!</v>
      </c>
      <c r="H24" s="338" t="e">
        <f>VLOOKUP($G24,#REF!,2,0)</f>
        <v>#REF!</v>
      </c>
      <c r="I24" s="336" t="s">
        <v>30</v>
      </c>
      <c r="J24" s="336" t="s">
        <v>531</v>
      </c>
      <c r="K24" s="336"/>
      <c r="L24" s="336" t="s">
        <v>531</v>
      </c>
      <c r="M24" s="334"/>
      <c r="N24" s="344" t="s">
        <v>972</v>
      </c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</row>
    <row r="25" spans="1:25" ht="20.25" customHeight="1">
      <c r="A25" s="297">
        <v>51000</v>
      </c>
      <c r="B25" s="298" t="s">
        <v>205</v>
      </c>
      <c r="C25" s="298" t="s">
        <v>873</v>
      </c>
      <c r="D25" s="239" t="s">
        <v>30</v>
      </c>
      <c r="E25" s="239">
        <v>1</v>
      </c>
      <c r="F25" s="308"/>
      <c r="G25" s="309"/>
      <c r="H25" s="310"/>
      <c r="I25" s="260"/>
      <c r="J25" s="260"/>
      <c r="K25" s="260"/>
      <c r="L25" s="260"/>
      <c r="M25" s="239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</row>
    <row r="26" spans="1:25" ht="20.25" customHeight="1">
      <c r="A26" s="291">
        <v>51001</v>
      </c>
      <c r="B26" s="239" t="s">
        <v>778</v>
      </c>
      <c r="C26" s="239" t="s">
        <v>873</v>
      </c>
      <c r="D26" s="239"/>
      <c r="E26" s="239">
        <v>2</v>
      </c>
      <c r="F26" s="308" t="str">
        <f>'Seg 2_Account'!B373</f>
        <v>5152000</v>
      </c>
      <c r="G26" s="309"/>
      <c r="H26" s="310"/>
      <c r="I26" s="260"/>
      <c r="J26" s="260"/>
      <c r="K26" s="260"/>
      <c r="L26" s="260"/>
      <c r="M26" s="239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</row>
    <row r="27" spans="1:25" ht="20.25" customHeight="1">
      <c r="A27" s="291">
        <f t="shared" ref="A27:A34" si="5">A26+1</f>
        <v>51002</v>
      </c>
      <c r="B27" s="239" t="s">
        <v>779</v>
      </c>
      <c r="C27" s="239" t="s">
        <v>873</v>
      </c>
      <c r="D27" s="239"/>
      <c r="E27" s="239">
        <v>2</v>
      </c>
      <c r="F27" s="308" t="str">
        <f>$F$26</f>
        <v>5152000</v>
      </c>
      <c r="G27" s="309"/>
      <c r="H27" s="310"/>
      <c r="I27" s="260"/>
      <c r="J27" s="260"/>
      <c r="K27" s="260"/>
      <c r="L27" s="260"/>
      <c r="M27" s="239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</row>
    <row r="28" spans="1:25" ht="20.25" customHeight="1">
      <c r="A28" s="291">
        <f t="shared" si="5"/>
        <v>51003</v>
      </c>
      <c r="B28" s="239" t="s">
        <v>780</v>
      </c>
      <c r="C28" s="239" t="s">
        <v>873</v>
      </c>
      <c r="D28" s="239"/>
      <c r="E28" s="239">
        <v>2</v>
      </c>
      <c r="F28" s="308" t="str">
        <f>$F$26</f>
        <v>5152000</v>
      </c>
      <c r="G28" s="309"/>
      <c r="H28" s="310"/>
      <c r="I28" s="260"/>
      <c r="J28" s="260"/>
      <c r="K28" s="260"/>
      <c r="L28" s="260"/>
      <c r="M28" s="239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</row>
    <row r="29" spans="1:25" ht="20.25" customHeight="1">
      <c r="A29" s="291">
        <f t="shared" si="5"/>
        <v>51004</v>
      </c>
      <c r="B29" s="239" t="s">
        <v>782</v>
      </c>
      <c r="C29" s="239" t="s">
        <v>873</v>
      </c>
      <c r="D29" s="239"/>
      <c r="E29" s="239">
        <v>2</v>
      </c>
      <c r="F29" s="308" t="str">
        <f t="shared" ref="F29:F31" si="6">$F$26</f>
        <v>5152000</v>
      </c>
      <c r="G29" s="309"/>
      <c r="H29" s="310"/>
      <c r="I29" s="260"/>
      <c r="J29" s="260"/>
      <c r="K29" s="260"/>
      <c r="L29" s="260"/>
      <c r="M29" s="239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</row>
    <row r="30" spans="1:25" ht="20.25" customHeight="1">
      <c r="A30" s="291">
        <f t="shared" si="5"/>
        <v>51005</v>
      </c>
      <c r="B30" s="239" t="s">
        <v>783</v>
      </c>
      <c r="C30" s="239" t="s">
        <v>873</v>
      </c>
      <c r="D30" s="239"/>
      <c r="E30" s="239">
        <v>2</v>
      </c>
      <c r="F30" s="308" t="str">
        <f t="shared" si="6"/>
        <v>5152000</v>
      </c>
      <c r="G30" s="309"/>
      <c r="H30" s="310"/>
      <c r="I30" s="260"/>
      <c r="J30" s="260"/>
      <c r="K30" s="260"/>
      <c r="L30" s="260"/>
      <c r="M30" s="239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</row>
    <row r="31" spans="1:25" ht="20.25" customHeight="1">
      <c r="A31" s="291">
        <f t="shared" si="5"/>
        <v>51006</v>
      </c>
      <c r="B31" s="239" t="s">
        <v>784</v>
      </c>
      <c r="C31" s="239" t="s">
        <v>873</v>
      </c>
      <c r="D31" s="239"/>
      <c r="E31" s="239">
        <v>2</v>
      </c>
      <c r="F31" s="308" t="str">
        <f t="shared" si="6"/>
        <v>5152000</v>
      </c>
      <c r="G31" s="309"/>
      <c r="H31" s="310"/>
      <c r="I31" s="260"/>
      <c r="J31" s="260"/>
      <c r="K31" s="260"/>
      <c r="L31" s="260"/>
      <c r="M31" s="239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</row>
    <row r="32" spans="1:25" ht="20.25" customHeight="1">
      <c r="A32" s="291">
        <f t="shared" si="5"/>
        <v>51007</v>
      </c>
      <c r="B32" s="239" t="s">
        <v>785</v>
      </c>
      <c r="C32" s="239" t="s">
        <v>873</v>
      </c>
      <c r="D32" s="239"/>
      <c r="E32" s="239">
        <v>2</v>
      </c>
      <c r="F32" s="308" t="str">
        <f>'Seg 2_Account'!$B$375&amp;", "&amp;'Seg 2_Account'!$B$376</f>
        <v>5152102, 5153000</v>
      </c>
      <c r="G32" s="309"/>
      <c r="H32" s="310"/>
      <c r="I32" s="260"/>
      <c r="J32" s="260"/>
      <c r="K32" s="260"/>
      <c r="L32" s="260"/>
      <c r="M32" s="239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</row>
    <row r="33" spans="1:25" ht="20.25" customHeight="1">
      <c r="A33" s="291">
        <f t="shared" si="5"/>
        <v>51008</v>
      </c>
      <c r="B33" s="239" t="s">
        <v>781</v>
      </c>
      <c r="C33" s="239" t="s">
        <v>873</v>
      </c>
      <c r="D33" s="239"/>
      <c r="E33" s="239">
        <v>2</v>
      </c>
      <c r="F33" s="308" t="str">
        <f>'Seg 2_Account'!B378</f>
        <v>5158000</v>
      </c>
      <c r="G33" s="309"/>
      <c r="H33" s="310"/>
      <c r="I33" s="260"/>
      <c r="J33" s="260"/>
      <c r="K33" s="260"/>
      <c r="L33" s="260"/>
      <c r="M33" s="239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</row>
    <row r="34" spans="1:25" ht="20.25" customHeight="1">
      <c r="A34" s="291">
        <f t="shared" si="5"/>
        <v>51009</v>
      </c>
      <c r="B34" s="239" t="s">
        <v>777</v>
      </c>
      <c r="C34" s="239" t="s">
        <v>873</v>
      </c>
      <c r="D34" s="239"/>
      <c r="E34" s="239">
        <v>2</v>
      </c>
      <c r="F34" s="308" t="str">
        <f>'Seg 2_Account'!B380</f>
        <v>5210000</v>
      </c>
      <c r="G34" s="309"/>
      <c r="H34" s="310"/>
      <c r="I34" s="260"/>
      <c r="J34" s="260"/>
      <c r="K34" s="260"/>
      <c r="L34" s="260"/>
      <c r="M34" s="239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</row>
    <row r="35" spans="1:25" ht="20.25" customHeight="1">
      <c r="A35" s="291">
        <v>51999</v>
      </c>
      <c r="B35" s="239" t="s">
        <v>786</v>
      </c>
      <c r="C35" s="239" t="s">
        <v>873</v>
      </c>
      <c r="D35" s="239"/>
      <c r="E35" s="239">
        <v>2</v>
      </c>
      <c r="F35" s="308" t="str">
        <f>F34</f>
        <v>5210000</v>
      </c>
      <c r="G35" s="309"/>
      <c r="H35" s="310"/>
      <c r="I35" s="260"/>
      <c r="J35" s="260"/>
      <c r="K35" s="260"/>
      <c r="L35" s="260"/>
      <c r="M35" s="239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</row>
    <row r="36" spans="1:25" ht="20.25" customHeight="1">
      <c r="A36" s="297">
        <v>52000</v>
      </c>
      <c r="B36" s="298" t="s">
        <v>765</v>
      </c>
      <c r="C36" s="298" t="s">
        <v>873</v>
      </c>
      <c r="D36" s="239" t="s">
        <v>30</v>
      </c>
      <c r="E36" s="239">
        <v>1</v>
      </c>
      <c r="F36" s="267"/>
      <c r="G36" s="291"/>
      <c r="H36" s="239"/>
      <c r="I36" s="260"/>
      <c r="J36" s="260"/>
      <c r="K36" s="260"/>
      <c r="L36" s="260"/>
      <c r="M36" s="239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</row>
    <row r="37" spans="1:25" ht="20.25" customHeight="1">
      <c r="A37" s="291">
        <v>52001</v>
      </c>
      <c r="B37" s="239" t="s">
        <v>766</v>
      </c>
      <c r="C37" s="239" t="s">
        <v>873</v>
      </c>
      <c r="D37" s="239"/>
      <c r="E37" s="239">
        <v>2</v>
      </c>
      <c r="F37" s="308" t="str">
        <f>'Seg 2_Account'!B414</f>
        <v>6351000</v>
      </c>
      <c r="G37" s="309"/>
      <c r="H37" s="310"/>
      <c r="I37" s="260" t="s">
        <v>30</v>
      </c>
      <c r="J37" s="260"/>
      <c r="K37" s="260"/>
      <c r="L37" s="260"/>
      <c r="M37" s="239" t="s">
        <v>767</v>
      </c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</row>
    <row r="38" spans="1:25" ht="20.25" customHeight="1">
      <c r="A38" s="291">
        <f>A37+1</f>
        <v>52002</v>
      </c>
      <c r="B38" s="239" t="s">
        <v>768</v>
      </c>
      <c r="C38" s="239" t="s">
        <v>873</v>
      </c>
      <c r="D38" s="239"/>
      <c r="E38" s="239">
        <v>2</v>
      </c>
      <c r="F38" s="308" t="str">
        <f>$F$37</f>
        <v>6351000</v>
      </c>
      <c r="G38" s="309"/>
      <c r="H38" s="310"/>
      <c r="I38" s="260" t="s">
        <v>30</v>
      </c>
      <c r="J38" s="260"/>
      <c r="K38" s="260"/>
      <c r="L38" s="260"/>
      <c r="M38" s="239" t="s">
        <v>767</v>
      </c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</row>
    <row r="39" spans="1:25" ht="20.25" customHeight="1">
      <c r="A39" s="291">
        <f t="shared" ref="A39:A46" si="7">A38+1</f>
        <v>52003</v>
      </c>
      <c r="B39" s="239" t="s">
        <v>772</v>
      </c>
      <c r="C39" s="239" t="s">
        <v>873</v>
      </c>
      <c r="D39" s="239"/>
      <c r="E39" s="239">
        <v>2</v>
      </c>
      <c r="F39" s="308" t="str">
        <f>'Seg 2_Account'!B416&amp;","&amp; 'Seg 2_Account'!B417</f>
        <v>6352000,6352101</v>
      </c>
      <c r="G39" s="309"/>
      <c r="H39" s="310"/>
      <c r="I39" s="260" t="s">
        <v>30</v>
      </c>
      <c r="J39" s="260"/>
      <c r="K39" s="260"/>
      <c r="L39" s="260"/>
      <c r="M39" s="239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</row>
    <row r="40" spans="1:25" ht="20.25" customHeight="1">
      <c r="A40" s="345">
        <f t="shared" si="7"/>
        <v>52004</v>
      </c>
      <c r="B40" s="239" t="s">
        <v>769</v>
      </c>
      <c r="C40" s="239" t="s">
        <v>873</v>
      </c>
      <c r="D40" s="239"/>
      <c r="E40" s="239">
        <v>2</v>
      </c>
      <c r="F40" s="308" t="str">
        <f>'Seg 2_Account'!B419</f>
        <v>6353000</v>
      </c>
      <c r="G40" s="309"/>
      <c r="H40" s="310"/>
      <c r="I40" s="260" t="s">
        <v>30</v>
      </c>
      <c r="J40" s="260"/>
      <c r="K40" s="260"/>
      <c r="L40" s="260"/>
      <c r="M40" s="239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</row>
    <row r="41" spans="1:25" ht="20.25" customHeight="1">
      <c r="A41" s="291">
        <f t="shared" si="7"/>
        <v>52005</v>
      </c>
      <c r="B41" s="239" t="s">
        <v>770</v>
      </c>
      <c r="C41" s="239" t="s">
        <v>873</v>
      </c>
      <c r="D41" s="239"/>
      <c r="E41" s="239">
        <v>2</v>
      </c>
      <c r="F41" s="308" t="str">
        <f>'Seg 2_Account'!B421</f>
        <v>6354000</v>
      </c>
      <c r="G41" s="309"/>
      <c r="H41" s="310"/>
      <c r="I41" s="260" t="s">
        <v>30</v>
      </c>
      <c r="J41" s="260"/>
      <c r="K41" s="260"/>
      <c r="L41" s="260"/>
      <c r="M41" s="239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</row>
    <row r="42" spans="1:25" ht="20.25" customHeight="1">
      <c r="A42" s="291">
        <f t="shared" si="7"/>
        <v>52006</v>
      </c>
      <c r="B42" s="239" t="s">
        <v>771</v>
      </c>
      <c r="C42" s="239" t="s">
        <v>873</v>
      </c>
      <c r="D42" s="239"/>
      <c r="E42" s="239">
        <v>2</v>
      </c>
      <c r="F42" s="308" t="str">
        <f>F41</f>
        <v>6354000</v>
      </c>
      <c r="G42" s="309"/>
      <c r="H42" s="310"/>
      <c r="I42" s="260" t="s">
        <v>30</v>
      </c>
      <c r="J42" s="260"/>
      <c r="K42" s="260"/>
      <c r="L42" s="260"/>
      <c r="M42" s="239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</row>
    <row r="43" spans="1:25" ht="20.25" customHeight="1">
      <c r="A43" s="291">
        <f t="shared" si="7"/>
        <v>52007</v>
      </c>
      <c r="B43" s="239" t="s">
        <v>773</v>
      </c>
      <c r="C43" s="239" t="s">
        <v>873</v>
      </c>
      <c r="D43" s="239"/>
      <c r="E43" s="239">
        <v>2</v>
      </c>
      <c r="F43" s="308" t="str">
        <f>'Seg 2_Account'!B422</f>
        <v>6354101</v>
      </c>
      <c r="G43" s="309"/>
      <c r="H43" s="310"/>
      <c r="I43" s="260" t="s">
        <v>30</v>
      </c>
      <c r="J43" s="260"/>
      <c r="K43" s="260"/>
      <c r="L43" s="260"/>
      <c r="M43" s="239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</row>
    <row r="44" spans="1:25" ht="20.25" customHeight="1">
      <c r="A44" s="291">
        <f t="shared" si="7"/>
        <v>52008</v>
      </c>
      <c r="B44" s="239" t="s">
        <v>774</v>
      </c>
      <c r="C44" s="239" t="s">
        <v>873</v>
      </c>
      <c r="D44" s="239"/>
      <c r="E44" s="239">
        <v>2</v>
      </c>
      <c r="F44" s="308" t="str">
        <f>F43</f>
        <v>6354101</v>
      </c>
      <c r="G44" s="309"/>
      <c r="H44" s="310"/>
      <c r="I44" s="260" t="s">
        <v>30</v>
      </c>
      <c r="J44" s="260"/>
      <c r="K44" s="260"/>
      <c r="L44" s="260"/>
      <c r="M44" s="239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</row>
    <row r="45" spans="1:25" ht="20.25" customHeight="1">
      <c r="A45" s="291">
        <f t="shared" si="7"/>
        <v>52009</v>
      </c>
      <c r="B45" s="239" t="s">
        <v>775</v>
      </c>
      <c r="C45" s="239" t="s">
        <v>873</v>
      </c>
      <c r="D45" s="239"/>
      <c r="E45" s="239">
        <v>2</v>
      </c>
      <c r="F45" s="308" t="str">
        <f>F43</f>
        <v>6354101</v>
      </c>
      <c r="G45" s="309"/>
      <c r="H45" s="310"/>
      <c r="I45" s="260" t="s">
        <v>30</v>
      </c>
      <c r="J45" s="260"/>
      <c r="K45" s="260"/>
      <c r="L45" s="260"/>
      <c r="M45" s="239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</row>
    <row r="46" spans="1:25" ht="20.25" customHeight="1">
      <c r="A46" s="291">
        <f t="shared" si="7"/>
        <v>52010</v>
      </c>
      <c r="B46" s="239" t="s">
        <v>776</v>
      </c>
      <c r="C46" s="239" t="s">
        <v>873</v>
      </c>
      <c r="D46" s="239"/>
      <c r="E46" s="239">
        <v>2</v>
      </c>
      <c r="F46" s="308" t="str">
        <f>'Seg 2_Account'!B424</f>
        <v>6358000</v>
      </c>
      <c r="G46" s="309"/>
      <c r="H46" s="310"/>
      <c r="I46" s="260" t="s">
        <v>30</v>
      </c>
      <c r="J46" s="260"/>
      <c r="K46" s="260"/>
      <c r="L46" s="260"/>
      <c r="M46" s="239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</row>
    <row r="47" spans="1:25" ht="20.25" customHeight="1">
      <c r="A47" s="297">
        <v>61000</v>
      </c>
      <c r="B47" s="298" t="s">
        <v>271</v>
      </c>
      <c r="C47" s="298" t="s">
        <v>873</v>
      </c>
      <c r="D47" s="239" t="s">
        <v>30</v>
      </c>
      <c r="E47" s="239">
        <v>1</v>
      </c>
      <c r="F47" s="293" t="str">
        <f>'Seg 2_Account'!B427&amp;", "&amp;'Seg 2_Account'!B444</f>
        <v>6411000, 6421000</v>
      </c>
      <c r="G47" s="294"/>
      <c r="H47" s="296"/>
      <c r="I47" s="260" t="s">
        <v>30</v>
      </c>
      <c r="J47" s="260"/>
      <c r="K47" s="260"/>
      <c r="L47" s="260"/>
      <c r="M47" s="239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</row>
    <row r="48" spans="1:25" ht="20.25" customHeight="1">
      <c r="A48" s="291">
        <v>61001</v>
      </c>
      <c r="B48" s="239" t="s">
        <v>272</v>
      </c>
      <c r="C48" s="239" t="s">
        <v>873</v>
      </c>
      <c r="D48" s="239"/>
      <c r="E48" s="239">
        <v>2</v>
      </c>
      <c r="F48" s="293" t="str">
        <f>$F$47</f>
        <v>6411000, 6421000</v>
      </c>
      <c r="G48" s="294" t="s">
        <v>937</v>
      </c>
      <c r="H48" s="294" t="s">
        <v>937</v>
      </c>
      <c r="I48" s="260" t="s">
        <v>30</v>
      </c>
      <c r="J48" s="260"/>
      <c r="K48" s="260"/>
      <c r="L48" s="260"/>
      <c r="M48" s="239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</row>
    <row r="49" spans="1:25" s="232" customFormat="1" ht="20.25" customHeight="1">
      <c r="A49" s="291">
        <f t="shared" ref="A49:A61" si="8">A48+1</f>
        <v>61002</v>
      </c>
      <c r="B49" s="233" t="s">
        <v>692</v>
      </c>
      <c r="C49" s="239" t="s">
        <v>873</v>
      </c>
      <c r="D49" s="260"/>
      <c r="E49" s="239">
        <v>2</v>
      </c>
      <c r="F49" s="293" t="str">
        <f t="shared" ref="F49:F62" si="9">$F$47</f>
        <v>6411000, 6421000</v>
      </c>
      <c r="G49" s="294" t="s">
        <v>937</v>
      </c>
      <c r="H49" s="294" t="s">
        <v>937</v>
      </c>
      <c r="I49" s="260" t="s">
        <v>30</v>
      </c>
      <c r="J49" s="260"/>
      <c r="K49" s="260" t="s">
        <v>693</v>
      </c>
      <c r="L49" s="260"/>
      <c r="M49" s="311"/>
      <c r="N49" s="312"/>
      <c r="O49" s="267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spans="1:25" s="232" customFormat="1" ht="20.25" customHeight="1">
      <c r="A50" s="291">
        <f t="shared" si="8"/>
        <v>61003</v>
      </c>
      <c r="B50" s="233" t="s">
        <v>694</v>
      </c>
      <c r="C50" s="239" t="s">
        <v>873</v>
      </c>
      <c r="D50" s="260"/>
      <c r="E50" s="239">
        <v>2</v>
      </c>
      <c r="F50" s="293" t="str">
        <f t="shared" si="9"/>
        <v>6411000, 6421000</v>
      </c>
      <c r="G50" s="294" t="s">
        <v>937</v>
      </c>
      <c r="H50" s="294" t="s">
        <v>937</v>
      </c>
      <c r="I50" s="260" t="s">
        <v>30</v>
      </c>
      <c r="J50" s="260"/>
      <c r="K50" s="260" t="s">
        <v>693</v>
      </c>
      <c r="L50" s="260"/>
      <c r="M50" s="311"/>
      <c r="N50" s="312"/>
      <c r="O50" s="267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spans="1:25" ht="20.25" customHeight="1">
      <c r="A51" s="291">
        <f t="shared" si="8"/>
        <v>61004</v>
      </c>
      <c r="B51" s="239" t="s">
        <v>273</v>
      </c>
      <c r="C51" s="239" t="s">
        <v>873</v>
      </c>
      <c r="D51" s="239"/>
      <c r="E51" s="239">
        <v>2</v>
      </c>
      <c r="F51" s="293" t="str">
        <f t="shared" si="9"/>
        <v>6411000, 6421000</v>
      </c>
      <c r="G51" s="294" t="s">
        <v>937</v>
      </c>
      <c r="H51" s="294" t="s">
        <v>937</v>
      </c>
      <c r="I51" s="260" t="s">
        <v>30</v>
      </c>
      <c r="J51" s="260"/>
      <c r="K51" s="260"/>
      <c r="L51" s="260"/>
      <c r="M51" s="313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</row>
    <row r="52" spans="1:25" ht="20.25" customHeight="1">
      <c r="A52" s="291">
        <f t="shared" si="8"/>
        <v>61005</v>
      </c>
      <c r="B52" s="239" t="s">
        <v>274</v>
      </c>
      <c r="C52" s="239" t="s">
        <v>873</v>
      </c>
      <c r="D52" s="239"/>
      <c r="E52" s="239">
        <v>2</v>
      </c>
      <c r="F52" s="293" t="str">
        <f t="shared" si="9"/>
        <v>6411000, 6421000</v>
      </c>
      <c r="G52" s="294" t="s">
        <v>937</v>
      </c>
      <c r="H52" s="294" t="s">
        <v>937</v>
      </c>
      <c r="I52" s="260" t="s">
        <v>30</v>
      </c>
      <c r="J52" s="260"/>
      <c r="K52" s="260"/>
      <c r="L52" s="260"/>
      <c r="M52" s="313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</row>
    <row r="53" spans="1:25" ht="20.25" customHeight="1">
      <c r="A53" s="291">
        <f t="shared" si="8"/>
        <v>61006</v>
      </c>
      <c r="B53" s="239" t="s">
        <v>276</v>
      </c>
      <c r="C53" s="239" t="s">
        <v>873</v>
      </c>
      <c r="D53" s="239"/>
      <c r="E53" s="239">
        <v>2</v>
      </c>
      <c r="F53" s="293" t="str">
        <f t="shared" si="9"/>
        <v>6411000, 6421000</v>
      </c>
      <c r="G53" s="294" t="s">
        <v>937</v>
      </c>
      <c r="H53" s="294" t="s">
        <v>937</v>
      </c>
      <c r="I53" s="260" t="s">
        <v>30</v>
      </c>
      <c r="J53" s="260"/>
      <c r="K53" s="260"/>
      <c r="L53" s="260"/>
      <c r="M53" s="313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</row>
    <row r="54" spans="1:25" ht="20.25" customHeight="1">
      <c r="A54" s="291">
        <f t="shared" si="8"/>
        <v>61007</v>
      </c>
      <c r="B54" s="239" t="s">
        <v>695</v>
      </c>
      <c r="C54" s="239" t="s">
        <v>873</v>
      </c>
      <c r="D54" s="239"/>
      <c r="E54" s="239">
        <v>2</v>
      </c>
      <c r="F54" s="293" t="str">
        <f t="shared" si="9"/>
        <v>6411000, 6421000</v>
      </c>
      <c r="G54" s="294" t="s">
        <v>937</v>
      </c>
      <c r="H54" s="294" t="s">
        <v>937</v>
      </c>
      <c r="I54" s="260" t="s">
        <v>30</v>
      </c>
      <c r="J54" s="260"/>
      <c r="K54" s="260"/>
      <c r="L54" s="260"/>
      <c r="M54" s="313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</row>
    <row r="55" spans="1:25" ht="20.25" customHeight="1">
      <c r="A55" s="291">
        <f t="shared" si="8"/>
        <v>61008</v>
      </c>
      <c r="B55" s="239" t="s">
        <v>696</v>
      </c>
      <c r="C55" s="239" t="s">
        <v>873</v>
      </c>
      <c r="D55" s="239"/>
      <c r="E55" s="239">
        <v>2</v>
      </c>
      <c r="F55" s="293" t="str">
        <f t="shared" si="9"/>
        <v>6411000, 6421000</v>
      </c>
      <c r="G55" s="294" t="s">
        <v>937</v>
      </c>
      <c r="H55" s="294" t="s">
        <v>937</v>
      </c>
      <c r="I55" s="260" t="s">
        <v>30</v>
      </c>
      <c r="J55" s="260"/>
      <c r="K55" s="260"/>
      <c r="L55" s="260"/>
      <c r="M55" s="313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</row>
    <row r="56" spans="1:25" ht="20.25" customHeight="1">
      <c r="A56" s="291">
        <f t="shared" si="8"/>
        <v>61009</v>
      </c>
      <c r="B56" s="239" t="s">
        <v>697</v>
      </c>
      <c r="C56" s="239" t="s">
        <v>873</v>
      </c>
      <c r="D56" s="239"/>
      <c r="E56" s="239">
        <v>2</v>
      </c>
      <c r="F56" s="293" t="str">
        <f t="shared" si="9"/>
        <v>6411000, 6421000</v>
      </c>
      <c r="G56" s="294" t="s">
        <v>937</v>
      </c>
      <c r="H56" s="294" t="s">
        <v>937</v>
      </c>
      <c r="I56" s="260" t="s">
        <v>30</v>
      </c>
      <c r="J56" s="260"/>
      <c r="K56" s="260"/>
      <c r="L56" s="260"/>
      <c r="M56" s="313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</row>
    <row r="57" spans="1:25" ht="20.25" customHeight="1">
      <c r="A57" s="291">
        <f t="shared" si="8"/>
        <v>61010</v>
      </c>
      <c r="B57" s="239" t="s">
        <v>698</v>
      </c>
      <c r="C57" s="239" t="s">
        <v>873</v>
      </c>
      <c r="D57" s="239"/>
      <c r="E57" s="239">
        <v>2</v>
      </c>
      <c r="F57" s="293" t="str">
        <f t="shared" si="9"/>
        <v>6411000, 6421000</v>
      </c>
      <c r="G57" s="294" t="s">
        <v>937</v>
      </c>
      <c r="H57" s="294" t="s">
        <v>937</v>
      </c>
      <c r="I57" s="260" t="s">
        <v>30</v>
      </c>
      <c r="J57" s="260"/>
      <c r="K57" s="260"/>
      <c r="L57" s="260"/>
      <c r="M57" s="313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</row>
    <row r="58" spans="1:25" ht="20.25" customHeight="1">
      <c r="A58" s="291">
        <f t="shared" si="8"/>
        <v>61011</v>
      </c>
      <c r="B58" s="239" t="s">
        <v>699</v>
      </c>
      <c r="C58" s="239" t="s">
        <v>873</v>
      </c>
      <c r="D58" s="239"/>
      <c r="E58" s="239">
        <v>2</v>
      </c>
      <c r="F58" s="293" t="str">
        <f t="shared" si="9"/>
        <v>6411000, 6421000</v>
      </c>
      <c r="G58" s="294" t="s">
        <v>937</v>
      </c>
      <c r="H58" s="294" t="s">
        <v>937</v>
      </c>
      <c r="I58" s="260" t="s">
        <v>30</v>
      </c>
      <c r="J58" s="260"/>
      <c r="K58" s="260"/>
      <c r="L58" s="260"/>
      <c r="M58" s="313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</row>
    <row r="59" spans="1:25" ht="20.25" customHeight="1">
      <c r="A59" s="291">
        <f t="shared" si="8"/>
        <v>61012</v>
      </c>
      <c r="B59" s="239" t="s">
        <v>275</v>
      </c>
      <c r="C59" s="239" t="s">
        <v>873</v>
      </c>
      <c r="D59" s="239"/>
      <c r="E59" s="239">
        <v>2</v>
      </c>
      <c r="F59" s="293" t="str">
        <f t="shared" si="9"/>
        <v>6411000, 6421000</v>
      </c>
      <c r="G59" s="294" t="s">
        <v>937</v>
      </c>
      <c r="H59" s="294" t="s">
        <v>937</v>
      </c>
      <c r="I59" s="260" t="s">
        <v>30</v>
      </c>
      <c r="J59" s="260"/>
      <c r="K59" s="260"/>
      <c r="L59" s="260"/>
      <c r="M59" s="313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</row>
    <row r="60" spans="1:25" ht="20.25" customHeight="1">
      <c r="A60" s="291">
        <f t="shared" si="8"/>
        <v>61013</v>
      </c>
      <c r="B60" s="239" t="s">
        <v>700</v>
      </c>
      <c r="C60" s="239" t="s">
        <v>873</v>
      </c>
      <c r="D60" s="239"/>
      <c r="E60" s="239">
        <v>2</v>
      </c>
      <c r="F60" s="293" t="str">
        <f t="shared" si="9"/>
        <v>6411000, 6421000</v>
      </c>
      <c r="G60" s="294" t="s">
        <v>937</v>
      </c>
      <c r="H60" s="294" t="s">
        <v>937</v>
      </c>
      <c r="I60" s="260" t="s">
        <v>30</v>
      </c>
      <c r="J60" s="260"/>
      <c r="K60" s="260"/>
      <c r="L60" s="260"/>
      <c r="M60" s="313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</row>
    <row r="61" spans="1:25" ht="20.25" customHeight="1">
      <c r="A61" s="291">
        <f t="shared" si="8"/>
        <v>61014</v>
      </c>
      <c r="B61" s="239" t="s">
        <v>701</v>
      </c>
      <c r="C61" s="239" t="s">
        <v>873</v>
      </c>
      <c r="D61" s="239"/>
      <c r="E61" s="239">
        <v>2</v>
      </c>
      <c r="F61" s="293" t="str">
        <f t="shared" si="9"/>
        <v>6411000, 6421000</v>
      </c>
      <c r="G61" s="294" t="s">
        <v>937</v>
      </c>
      <c r="H61" s="294" t="s">
        <v>937</v>
      </c>
      <c r="I61" s="260" t="s">
        <v>30</v>
      </c>
      <c r="J61" s="260"/>
      <c r="K61" s="260"/>
      <c r="L61" s="260"/>
      <c r="M61" s="313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</row>
    <row r="62" spans="1:25" ht="20.25" customHeight="1">
      <c r="A62" s="291">
        <v>61099</v>
      </c>
      <c r="B62" s="239" t="s">
        <v>702</v>
      </c>
      <c r="C62" s="239" t="s">
        <v>873</v>
      </c>
      <c r="D62" s="239"/>
      <c r="E62" s="239">
        <v>2</v>
      </c>
      <c r="F62" s="293" t="str">
        <f t="shared" si="9"/>
        <v>6411000, 6421000</v>
      </c>
      <c r="G62" s="294" t="s">
        <v>937</v>
      </c>
      <c r="H62" s="294" t="s">
        <v>937</v>
      </c>
      <c r="I62" s="260" t="s">
        <v>30</v>
      </c>
      <c r="J62" s="260"/>
      <c r="K62" s="260"/>
      <c r="L62" s="260"/>
      <c r="M62" s="313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</row>
    <row r="63" spans="1:25" ht="20.25" customHeight="1">
      <c r="A63" s="297">
        <v>62000</v>
      </c>
      <c r="B63" s="298" t="s">
        <v>277</v>
      </c>
      <c r="C63" s="298" t="s">
        <v>873</v>
      </c>
      <c r="D63" s="239" t="s">
        <v>30</v>
      </c>
      <c r="E63" s="239">
        <v>1</v>
      </c>
      <c r="F63" s="267" t="str">
        <f>'Seg 2_Account'!B429&amp;", "&amp;'Seg 2_Account'!B446</f>
        <v>6412000, 6422000</v>
      </c>
      <c r="G63" s="291"/>
      <c r="H63" s="239"/>
      <c r="I63" s="260"/>
      <c r="J63" s="260"/>
      <c r="K63" s="260"/>
      <c r="L63" s="260"/>
      <c r="M63" s="239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</row>
    <row r="64" spans="1:25" ht="20.25" customHeight="1">
      <c r="A64" s="291">
        <v>62001</v>
      </c>
      <c r="B64" s="239" t="s">
        <v>703</v>
      </c>
      <c r="C64" s="239" t="s">
        <v>873</v>
      </c>
      <c r="D64" s="239"/>
      <c r="E64" s="239">
        <v>2</v>
      </c>
      <c r="F64" s="293" t="str">
        <f>'Seg 2_Account'!B429</f>
        <v>6412000</v>
      </c>
      <c r="G64" s="294" t="e">
        <f>#REF!</f>
        <v>#REF!</v>
      </c>
      <c r="H64" s="294" t="e">
        <f>VLOOKUP($G64,#REF!,2,0)</f>
        <v>#REF!</v>
      </c>
      <c r="I64" s="260" t="s">
        <v>30</v>
      </c>
      <c r="J64" s="260"/>
      <c r="K64" s="260"/>
      <c r="L64" s="260" t="s">
        <v>531</v>
      </c>
      <c r="M64" s="239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</row>
    <row r="65" spans="1:25" s="232" customFormat="1" ht="20.25" customHeight="1">
      <c r="A65" s="291">
        <f>A64+1</f>
        <v>62002</v>
      </c>
      <c r="B65" s="233" t="s">
        <v>704</v>
      </c>
      <c r="C65" s="239" t="s">
        <v>873</v>
      </c>
      <c r="D65" s="260"/>
      <c r="E65" s="239">
        <v>2</v>
      </c>
      <c r="F65" s="293" t="str">
        <f>F64</f>
        <v>6412000</v>
      </c>
      <c r="G65" s="294" t="e">
        <f>#REF!</f>
        <v>#REF!</v>
      </c>
      <c r="H65" s="294" t="e">
        <f>VLOOKUP($G65,#REF!,2,0)</f>
        <v>#REF!</v>
      </c>
      <c r="I65" s="260" t="s">
        <v>30</v>
      </c>
      <c r="J65" s="260"/>
      <c r="K65" s="260" t="s">
        <v>693</v>
      </c>
      <c r="L65" s="260" t="s">
        <v>531</v>
      </c>
      <c r="M65" s="260" t="s">
        <v>705</v>
      </c>
      <c r="N65" s="312"/>
      <c r="O65" s="267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spans="1:25" ht="20.25" customHeight="1">
      <c r="A66" s="291">
        <v>62999</v>
      </c>
      <c r="B66" s="239" t="s">
        <v>706</v>
      </c>
      <c r="C66" s="239" t="s">
        <v>873</v>
      </c>
      <c r="D66" s="239"/>
      <c r="E66" s="239">
        <v>2</v>
      </c>
      <c r="F66" s="293" t="str">
        <f t="shared" ref="F66" si="10">$F$63</f>
        <v>6412000, 6422000</v>
      </c>
      <c r="G66" s="294" t="s">
        <v>937</v>
      </c>
      <c r="H66" s="296" t="s">
        <v>937</v>
      </c>
      <c r="I66" s="260" t="s">
        <v>30</v>
      </c>
      <c r="J66" s="260"/>
      <c r="K66" s="260"/>
      <c r="L66" s="260" t="s">
        <v>531</v>
      </c>
      <c r="M66" s="239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</row>
    <row r="67" spans="1:25" ht="20.25" customHeight="1">
      <c r="A67" s="297">
        <v>63000</v>
      </c>
      <c r="B67" s="298" t="s">
        <v>707</v>
      </c>
      <c r="C67" s="298" t="s">
        <v>873</v>
      </c>
      <c r="D67" s="239" t="s">
        <v>30</v>
      </c>
      <c r="E67" s="239">
        <v>1</v>
      </c>
      <c r="F67" s="267" t="str">
        <f>'Seg 2_Account'!B431&amp;", "&amp;'Seg 2_Account'!B448</f>
        <v>6413000, 6423000</v>
      </c>
      <c r="G67" s="291"/>
      <c r="H67" s="239"/>
      <c r="I67" s="260"/>
      <c r="J67" s="260"/>
      <c r="K67" s="260"/>
      <c r="L67" s="260"/>
      <c r="M67" s="239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</row>
    <row r="68" spans="1:25" ht="20.25" customHeight="1">
      <c r="A68" s="291">
        <v>63001</v>
      </c>
      <c r="B68" s="239" t="s">
        <v>708</v>
      </c>
      <c r="C68" s="239" t="s">
        <v>873</v>
      </c>
      <c r="D68" s="239"/>
      <c r="E68" s="239">
        <v>2</v>
      </c>
      <c r="F68" s="267" t="str">
        <f>$F$67</f>
        <v>6413000, 6423000</v>
      </c>
      <c r="G68" s="291" t="e">
        <f>#REF!</f>
        <v>#REF!</v>
      </c>
      <c r="H68" s="291" t="e">
        <f>VLOOKUP($G68,#REF!,2,0)</f>
        <v>#REF!</v>
      </c>
      <c r="I68" s="260" t="s">
        <v>30</v>
      </c>
      <c r="J68" s="260"/>
      <c r="K68" s="260"/>
      <c r="L68" s="260"/>
      <c r="M68" s="239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</row>
    <row r="69" spans="1:25" ht="20.25" customHeight="1">
      <c r="A69" s="291">
        <f>A68+1</f>
        <v>63002</v>
      </c>
      <c r="B69" s="239" t="s">
        <v>709</v>
      </c>
      <c r="C69" s="239" t="s">
        <v>873</v>
      </c>
      <c r="D69" s="239"/>
      <c r="E69" s="239">
        <v>2</v>
      </c>
      <c r="F69" s="267" t="str">
        <f t="shared" ref="F69:F76" si="11">$F$67</f>
        <v>6413000, 6423000</v>
      </c>
      <c r="G69" s="291" t="e">
        <f>#REF!</f>
        <v>#REF!</v>
      </c>
      <c r="H69" s="291" t="e">
        <f>VLOOKUP($G69,#REF!,2,0)</f>
        <v>#REF!</v>
      </c>
      <c r="I69" s="260" t="s">
        <v>30</v>
      </c>
      <c r="J69" s="260"/>
      <c r="K69" s="260"/>
      <c r="L69" s="260"/>
      <c r="M69" s="239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</row>
    <row r="70" spans="1:25" ht="20.25" customHeight="1">
      <c r="A70" s="291">
        <f t="shared" ref="A70:A75" si="12">A69+1</f>
        <v>63003</v>
      </c>
      <c r="B70" s="239" t="s">
        <v>710</v>
      </c>
      <c r="C70" s="239" t="s">
        <v>873</v>
      </c>
      <c r="D70" s="239"/>
      <c r="E70" s="239">
        <v>2</v>
      </c>
      <c r="F70" s="267" t="str">
        <f t="shared" si="11"/>
        <v>6413000, 6423000</v>
      </c>
      <c r="G70" s="291" t="s">
        <v>937</v>
      </c>
      <c r="H70" s="239" t="s">
        <v>937</v>
      </c>
      <c r="I70" s="260" t="s">
        <v>30</v>
      </c>
      <c r="J70" s="260"/>
      <c r="K70" s="260"/>
      <c r="L70" s="260" t="s">
        <v>531</v>
      </c>
      <c r="M70" s="239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</row>
    <row r="71" spans="1:25" ht="20.25" customHeight="1">
      <c r="A71" s="291">
        <f t="shared" si="12"/>
        <v>63004</v>
      </c>
      <c r="B71" s="239" t="s">
        <v>711</v>
      </c>
      <c r="C71" s="239" t="s">
        <v>873</v>
      </c>
      <c r="D71" s="239"/>
      <c r="E71" s="239">
        <v>2</v>
      </c>
      <c r="F71" s="267" t="str">
        <f t="shared" si="11"/>
        <v>6413000, 6423000</v>
      </c>
      <c r="G71" s="291" t="s">
        <v>937</v>
      </c>
      <c r="H71" s="239" t="s">
        <v>937</v>
      </c>
      <c r="I71" s="260" t="s">
        <v>30</v>
      </c>
      <c r="J71" s="260"/>
      <c r="K71" s="260"/>
      <c r="L71" s="260" t="s">
        <v>531</v>
      </c>
      <c r="M71" s="239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</row>
    <row r="72" spans="1:25" s="339" customFormat="1" ht="20.25" customHeight="1">
      <c r="A72" s="333">
        <f t="shared" si="12"/>
        <v>63005</v>
      </c>
      <c r="B72" s="334" t="s">
        <v>278</v>
      </c>
      <c r="C72" s="334" t="s">
        <v>873</v>
      </c>
      <c r="D72" s="334"/>
      <c r="E72" s="334">
        <v>2</v>
      </c>
      <c r="F72" s="335" t="str">
        <f t="shared" si="11"/>
        <v>6413000, 6423000</v>
      </c>
      <c r="G72" s="333" t="s">
        <v>937</v>
      </c>
      <c r="H72" s="333" t="s">
        <v>974</v>
      </c>
      <c r="I72" s="336" t="s">
        <v>30</v>
      </c>
      <c r="J72" s="336" t="s">
        <v>531</v>
      </c>
      <c r="K72" s="336"/>
      <c r="L72" s="336" t="s">
        <v>531</v>
      </c>
      <c r="M72" s="336"/>
      <c r="N72" s="344" t="s">
        <v>972</v>
      </c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</row>
    <row r="73" spans="1:25" ht="20.25" customHeight="1">
      <c r="A73" s="291">
        <f t="shared" si="12"/>
        <v>63006</v>
      </c>
      <c r="B73" s="239" t="s">
        <v>454</v>
      </c>
      <c r="C73" s="239" t="s">
        <v>873</v>
      </c>
      <c r="D73" s="239"/>
      <c r="E73" s="239">
        <v>2</v>
      </c>
      <c r="F73" s="267" t="str">
        <f t="shared" si="11"/>
        <v>6413000, 6423000</v>
      </c>
      <c r="G73" s="291" t="s">
        <v>937</v>
      </c>
      <c r="H73" s="239" t="s">
        <v>937</v>
      </c>
      <c r="I73" s="260" t="s">
        <v>30</v>
      </c>
      <c r="J73" s="260"/>
      <c r="K73" s="260"/>
      <c r="L73" s="260" t="s">
        <v>531</v>
      </c>
      <c r="M73" s="239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</row>
    <row r="74" spans="1:25" s="337" customFormat="1" ht="20.25" customHeight="1">
      <c r="A74" s="333">
        <f t="shared" si="12"/>
        <v>63007</v>
      </c>
      <c r="B74" s="334" t="s">
        <v>971</v>
      </c>
      <c r="C74" s="334" t="s">
        <v>873</v>
      </c>
      <c r="D74" s="334"/>
      <c r="E74" s="334">
        <v>2</v>
      </c>
      <c r="F74" s="335" t="str">
        <f>'Seg 2_Account'!$B$409</f>
        <v>6323000</v>
      </c>
      <c r="G74" s="333" t="e">
        <f>#REF!</f>
        <v>#REF!</v>
      </c>
      <c r="H74" s="334" t="e">
        <f>VLOOKUP($G74,#REF!,2,0)</f>
        <v>#REF!</v>
      </c>
      <c r="I74" s="336" t="s">
        <v>30</v>
      </c>
      <c r="J74" s="336"/>
      <c r="K74" s="336"/>
      <c r="L74" s="336"/>
      <c r="M74" s="334"/>
      <c r="N74" s="335" t="s">
        <v>972</v>
      </c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</row>
    <row r="75" spans="1:25" s="337" customFormat="1" ht="20.25" customHeight="1">
      <c r="A75" s="333">
        <f t="shared" si="12"/>
        <v>63008</v>
      </c>
      <c r="B75" s="334" t="s">
        <v>973</v>
      </c>
      <c r="C75" s="334" t="s">
        <v>873</v>
      </c>
      <c r="D75" s="334"/>
      <c r="E75" s="334">
        <v>2</v>
      </c>
      <c r="F75" s="335" t="str">
        <f>'Seg 2_Account'!$B$409</f>
        <v>6323000</v>
      </c>
      <c r="G75" s="333" t="e">
        <f>#REF!</f>
        <v>#REF!</v>
      </c>
      <c r="H75" s="334" t="e">
        <f>VLOOKUP($G75,#REF!,2,0)</f>
        <v>#REF!</v>
      </c>
      <c r="I75" s="336" t="s">
        <v>30</v>
      </c>
      <c r="J75" s="336"/>
      <c r="K75" s="336"/>
      <c r="L75" s="336"/>
      <c r="M75" s="334"/>
      <c r="N75" s="335" t="s">
        <v>972</v>
      </c>
      <c r="O75" s="335"/>
      <c r="P75" s="335"/>
      <c r="Q75" s="335"/>
      <c r="R75" s="335"/>
      <c r="S75" s="335"/>
      <c r="T75" s="335"/>
      <c r="U75" s="335"/>
      <c r="V75" s="335"/>
      <c r="W75" s="335"/>
      <c r="X75" s="335"/>
      <c r="Y75" s="335"/>
    </row>
    <row r="76" spans="1:25" ht="20.25" customHeight="1">
      <c r="A76" s="345">
        <v>63999</v>
      </c>
      <c r="B76" s="239" t="s">
        <v>712</v>
      </c>
      <c r="C76" s="239" t="s">
        <v>873</v>
      </c>
      <c r="D76" s="239"/>
      <c r="E76" s="239">
        <v>2</v>
      </c>
      <c r="F76" s="267" t="str">
        <f t="shared" si="11"/>
        <v>6413000, 6423000</v>
      </c>
      <c r="G76" s="291" t="s">
        <v>937</v>
      </c>
      <c r="H76" s="239" t="s">
        <v>937</v>
      </c>
      <c r="I76" s="260" t="s">
        <v>30</v>
      </c>
      <c r="J76" s="260"/>
      <c r="K76" s="260"/>
      <c r="L76" s="260"/>
      <c r="M76" s="239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</row>
    <row r="77" spans="1:25" ht="20.25" customHeight="1">
      <c r="A77" s="297">
        <v>64000</v>
      </c>
      <c r="B77" s="298" t="s">
        <v>279</v>
      </c>
      <c r="C77" s="298" t="s">
        <v>873</v>
      </c>
      <c r="D77" s="239" t="s">
        <v>30</v>
      </c>
      <c r="E77" s="239">
        <v>1</v>
      </c>
      <c r="F77" s="267" t="str">
        <f>'Seg 2_Account'!B433&amp;", "&amp;'Seg 2_Account'!B450</f>
        <v>6414000, 6424000</v>
      </c>
      <c r="G77" s="291"/>
      <c r="H77" s="239"/>
      <c r="I77" s="260"/>
      <c r="J77" s="260"/>
      <c r="K77" s="260"/>
      <c r="L77" s="260"/>
      <c r="M77" s="239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</row>
    <row r="78" spans="1:25" ht="20.25" customHeight="1">
      <c r="A78" s="291">
        <v>64001</v>
      </c>
      <c r="B78" s="239" t="s">
        <v>280</v>
      </c>
      <c r="C78" s="239" t="s">
        <v>873</v>
      </c>
      <c r="D78" s="239"/>
      <c r="E78" s="239">
        <v>2</v>
      </c>
      <c r="F78" s="267" t="str">
        <f>$F$77</f>
        <v>6414000, 6424000</v>
      </c>
      <c r="G78" s="291" t="s">
        <v>937</v>
      </c>
      <c r="H78" s="239" t="s">
        <v>937</v>
      </c>
      <c r="I78" s="260" t="s">
        <v>30</v>
      </c>
      <c r="J78" s="260"/>
      <c r="K78" s="260"/>
      <c r="L78" s="260"/>
      <c r="M78" s="239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</row>
    <row r="79" spans="1:25" ht="20.25" customHeight="1">
      <c r="A79" s="291">
        <f t="shared" ref="A79:A89" si="13">A78+1</f>
        <v>64002</v>
      </c>
      <c r="B79" s="239" t="s">
        <v>281</v>
      </c>
      <c r="C79" s="239" t="s">
        <v>873</v>
      </c>
      <c r="D79" s="239"/>
      <c r="E79" s="239">
        <v>2</v>
      </c>
      <c r="F79" s="267" t="str">
        <f t="shared" ref="F79:F89" si="14">$F$77</f>
        <v>6414000, 6424000</v>
      </c>
      <c r="G79" s="291" t="s">
        <v>937</v>
      </c>
      <c r="H79" s="239" t="s">
        <v>937</v>
      </c>
      <c r="I79" s="260" t="s">
        <v>30</v>
      </c>
      <c r="J79" s="260"/>
      <c r="K79" s="260"/>
      <c r="L79" s="260"/>
      <c r="M79" s="239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</row>
    <row r="80" spans="1:25" ht="20.25" customHeight="1">
      <c r="A80" s="291">
        <f t="shared" si="13"/>
        <v>64003</v>
      </c>
      <c r="B80" s="239" t="s">
        <v>282</v>
      </c>
      <c r="C80" s="239" t="s">
        <v>873</v>
      </c>
      <c r="D80" s="239"/>
      <c r="E80" s="239">
        <v>2</v>
      </c>
      <c r="F80" s="267" t="str">
        <f t="shared" si="14"/>
        <v>6414000, 6424000</v>
      </c>
      <c r="G80" s="291" t="s">
        <v>937</v>
      </c>
      <c r="H80" s="239" t="s">
        <v>937</v>
      </c>
      <c r="I80" s="260" t="s">
        <v>30</v>
      </c>
      <c r="J80" s="260"/>
      <c r="K80" s="260"/>
      <c r="L80" s="260"/>
      <c r="M80" s="239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</row>
    <row r="81" spans="1:25" ht="20.25" customHeight="1">
      <c r="A81" s="291">
        <f t="shared" si="13"/>
        <v>64004</v>
      </c>
      <c r="B81" s="239" t="s">
        <v>283</v>
      </c>
      <c r="C81" s="239" t="s">
        <v>873</v>
      </c>
      <c r="D81" s="239"/>
      <c r="E81" s="239">
        <v>2</v>
      </c>
      <c r="F81" s="267" t="str">
        <f t="shared" si="14"/>
        <v>6414000, 6424000</v>
      </c>
      <c r="G81" s="291" t="s">
        <v>937</v>
      </c>
      <c r="H81" s="239" t="s">
        <v>937</v>
      </c>
      <c r="I81" s="260" t="s">
        <v>30</v>
      </c>
      <c r="J81" s="260"/>
      <c r="K81" s="260"/>
      <c r="L81" s="260"/>
      <c r="M81" s="239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</row>
    <row r="82" spans="1:25" ht="20.25" customHeight="1">
      <c r="A82" s="291">
        <f t="shared" si="13"/>
        <v>64005</v>
      </c>
      <c r="B82" s="239" t="s">
        <v>713</v>
      </c>
      <c r="C82" s="239" t="s">
        <v>873</v>
      </c>
      <c r="D82" s="239"/>
      <c r="E82" s="239">
        <v>2</v>
      </c>
      <c r="F82" s="267" t="str">
        <f t="shared" si="14"/>
        <v>6414000, 6424000</v>
      </c>
      <c r="G82" s="291" t="s">
        <v>937</v>
      </c>
      <c r="H82" s="239" t="s">
        <v>937</v>
      </c>
      <c r="I82" s="260" t="s">
        <v>30</v>
      </c>
      <c r="J82" s="260"/>
      <c r="K82" s="260"/>
      <c r="L82" s="260"/>
      <c r="M82" s="239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</row>
    <row r="83" spans="1:25" s="246" customFormat="1" ht="20.25" customHeight="1">
      <c r="A83" s="291">
        <f t="shared" si="13"/>
        <v>64006</v>
      </c>
      <c r="B83" s="314" t="s">
        <v>447</v>
      </c>
      <c r="C83" s="314" t="s">
        <v>873</v>
      </c>
      <c r="D83" s="314"/>
      <c r="E83" s="239">
        <v>2</v>
      </c>
      <c r="F83" s="267" t="str">
        <f t="shared" si="14"/>
        <v>6414000, 6424000</v>
      </c>
      <c r="G83" s="291" t="s">
        <v>937</v>
      </c>
      <c r="H83" s="239" t="s">
        <v>937</v>
      </c>
      <c r="I83" s="265" t="s">
        <v>30</v>
      </c>
      <c r="J83" s="265"/>
      <c r="K83" s="265"/>
      <c r="L83" s="265"/>
      <c r="M83" s="314"/>
      <c r="N83" s="315"/>
      <c r="O83" s="267"/>
      <c r="P83" s="315"/>
      <c r="Q83" s="315"/>
      <c r="R83" s="315"/>
      <c r="S83" s="315"/>
      <c r="T83" s="315"/>
      <c r="U83" s="315"/>
      <c r="V83" s="315"/>
      <c r="W83" s="315"/>
      <c r="X83" s="315"/>
      <c r="Y83" s="315"/>
    </row>
    <row r="84" spans="1:25" s="246" customFormat="1" ht="20.25" customHeight="1">
      <c r="A84" s="291">
        <f t="shared" si="13"/>
        <v>64007</v>
      </c>
      <c r="B84" s="314" t="s">
        <v>448</v>
      </c>
      <c r="C84" s="314" t="s">
        <v>873</v>
      </c>
      <c r="D84" s="314"/>
      <c r="E84" s="239">
        <v>2</v>
      </c>
      <c r="F84" s="267" t="str">
        <f t="shared" si="14"/>
        <v>6414000, 6424000</v>
      </c>
      <c r="G84" s="291" t="s">
        <v>937</v>
      </c>
      <c r="H84" s="239" t="s">
        <v>937</v>
      </c>
      <c r="I84" s="265" t="s">
        <v>30</v>
      </c>
      <c r="J84" s="265"/>
      <c r="K84" s="265"/>
      <c r="L84" s="265"/>
      <c r="M84" s="314"/>
      <c r="N84" s="315"/>
      <c r="O84" s="267"/>
      <c r="P84" s="315"/>
      <c r="Q84" s="315"/>
      <c r="R84" s="315"/>
      <c r="S84" s="315"/>
      <c r="T84" s="315"/>
      <c r="U84" s="315"/>
      <c r="V84" s="315"/>
      <c r="W84" s="315"/>
      <c r="X84" s="315"/>
      <c r="Y84" s="315"/>
    </row>
    <row r="85" spans="1:25" s="246" customFormat="1" ht="20.25" customHeight="1">
      <c r="A85" s="291">
        <f t="shared" si="13"/>
        <v>64008</v>
      </c>
      <c r="B85" s="314" t="s">
        <v>449</v>
      </c>
      <c r="C85" s="314" t="s">
        <v>873</v>
      </c>
      <c r="D85" s="314"/>
      <c r="E85" s="239">
        <v>2</v>
      </c>
      <c r="F85" s="267" t="str">
        <f t="shared" si="14"/>
        <v>6414000, 6424000</v>
      </c>
      <c r="G85" s="291" t="s">
        <v>937</v>
      </c>
      <c r="H85" s="239" t="s">
        <v>937</v>
      </c>
      <c r="I85" s="265" t="s">
        <v>30</v>
      </c>
      <c r="J85" s="265"/>
      <c r="K85" s="265"/>
      <c r="L85" s="265"/>
      <c r="M85" s="314"/>
      <c r="N85" s="315"/>
      <c r="O85" s="267"/>
      <c r="P85" s="315"/>
      <c r="Q85" s="315"/>
      <c r="R85" s="315"/>
      <c r="S85" s="315"/>
      <c r="T85" s="315"/>
      <c r="U85" s="315"/>
      <c r="V85" s="315"/>
      <c r="W85" s="315"/>
      <c r="X85" s="315"/>
      <c r="Y85" s="315"/>
    </row>
    <row r="86" spans="1:25" s="246" customFormat="1" ht="20.25" customHeight="1">
      <c r="A86" s="291">
        <f t="shared" si="13"/>
        <v>64009</v>
      </c>
      <c r="B86" s="314" t="s">
        <v>450</v>
      </c>
      <c r="C86" s="314" t="s">
        <v>873</v>
      </c>
      <c r="D86" s="314"/>
      <c r="E86" s="239">
        <v>2</v>
      </c>
      <c r="F86" s="267" t="str">
        <f t="shared" si="14"/>
        <v>6414000, 6424000</v>
      </c>
      <c r="G86" s="291" t="s">
        <v>937</v>
      </c>
      <c r="H86" s="239" t="s">
        <v>937</v>
      </c>
      <c r="I86" s="265" t="s">
        <v>30</v>
      </c>
      <c r="J86" s="265"/>
      <c r="K86" s="265"/>
      <c r="L86" s="265"/>
      <c r="M86" s="314"/>
      <c r="N86" s="315"/>
      <c r="O86" s="267"/>
      <c r="P86" s="315"/>
      <c r="Q86" s="315"/>
      <c r="R86" s="315"/>
      <c r="S86" s="315"/>
      <c r="T86" s="315"/>
      <c r="U86" s="315"/>
      <c r="V86" s="315"/>
      <c r="W86" s="315"/>
      <c r="X86" s="315"/>
      <c r="Y86" s="315"/>
    </row>
    <row r="87" spans="1:25" s="246" customFormat="1" ht="20.25" customHeight="1">
      <c r="A87" s="291">
        <f t="shared" si="13"/>
        <v>64010</v>
      </c>
      <c r="B87" s="314" t="s">
        <v>451</v>
      </c>
      <c r="C87" s="314" t="s">
        <v>873</v>
      </c>
      <c r="D87" s="314"/>
      <c r="E87" s="239">
        <v>2</v>
      </c>
      <c r="F87" s="267" t="str">
        <f t="shared" si="14"/>
        <v>6414000, 6424000</v>
      </c>
      <c r="G87" s="291" t="s">
        <v>937</v>
      </c>
      <c r="H87" s="239" t="s">
        <v>937</v>
      </c>
      <c r="I87" s="265" t="s">
        <v>30</v>
      </c>
      <c r="J87" s="265"/>
      <c r="K87" s="265"/>
      <c r="L87" s="265"/>
      <c r="M87" s="314"/>
      <c r="N87" s="315"/>
      <c r="O87" s="267"/>
      <c r="P87" s="315"/>
      <c r="Q87" s="315"/>
      <c r="R87" s="315"/>
      <c r="S87" s="315"/>
      <c r="T87" s="315"/>
      <c r="U87" s="315"/>
      <c r="V87" s="315"/>
      <c r="W87" s="315"/>
      <c r="X87" s="315"/>
      <c r="Y87" s="315"/>
    </row>
    <row r="88" spans="1:25" s="246" customFormat="1" ht="20.25" customHeight="1">
      <c r="A88" s="291">
        <f t="shared" si="13"/>
        <v>64011</v>
      </c>
      <c r="B88" s="314" t="s">
        <v>452</v>
      </c>
      <c r="C88" s="314" t="s">
        <v>873</v>
      </c>
      <c r="D88" s="314"/>
      <c r="E88" s="239">
        <v>2</v>
      </c>
      <c r="F88" s="267" t="str">
        <f t="shared" si="14"/>
        <v>6414000, 6424000</v>
      </c>
      <c r="G88" s="291" t="s">
        <v>937</v>
      </c>
      <c r="H88" s="239" t="s">
        <v>937</v>
      </c>
      <c r="I88" s="265" t="s">
        <v>30</v>
      </c>
      <c r="J88" s="265"/>
      <c r="K88" s="265"/>
      <c r="L88" s="265"/>
      <c r="M88" s="314"/>
      <c r="N88" s="315"/>
      <c r="O88" s="267"/>
      <c r="P88" s="315"/>
      <c r="Q88" s="315"/>
      <c r="R88" s="315"/>
      <c r="S88" s="315"/>
      <c r="T88" s="315"/>
      <c r="U88" s="315"/>
      <c r="V88" s="315"/>
      <c r="W88" s="315"/>
      <c r="X88" s="315"/>
      <c r="Y88" s="315"/>
    </row>
    <row r="89" spans="1:25" s="246" customFormat="1" ht="20.25" customHeight="1">
      <c r="A89" s="291">
        <f t="shared" si="13"/>
        <v>64012</v>
      </c>
      <c r="B89" s="314" t="s">
        <v>453</v>
      </c>
      <c r="C89" s="314" t="s">
        <v>873</v>
      </c>
      <c r="D89" s="314"/>
      <c r="E89" s="239">
        <v>2</v>
      </c>
      <c r="F89" s="267" t="str">
        <f t="shared" si="14"/>
        <v>6414000, 6424000</v>
      </c>
      <c r="G89" s="291" t="s">
        <v>937</v>
      </c>
      <c r="H89" s="239" t="s">
        <v>937</v>
      </c>
      <c r="I89" s="265" t="s">
        <v>30</v>
      </c>
      <c r="J89" s="265"/>
      <c r="K89" s="265"/>
      <c r="L89" s="265"/>
      <c r="M89" s="314"/>
      <c r="N89" s="315"/>
      <c r="O89" s="267"/>
      <c r="P89" s="315"/>
      <c r="Q89" s="315"/>
      <c r="R89" s="315"/>
      <c r="S89" s="315"/>
      <c r="T89" s="315"/>
      <c r="U89" s="315"/>
      <c r="V89" s="315"/>
      <c r="W89" s="315"/>
      <c r="X89" s="315"/>
      <c r="Y89" s="315"/>
    </row>
    <row r="90" spans="1:25" ht="20.25" customHeight="1">
      <c r="A90" s="297">
        <v>65000</v>
      </c>
      <c r="B90" s="298" t="s">
        <v>284</v>
      </c>
      <c r="C90" s="298" t="s">
        <v>873</v>
      </c>
      <c r="D90" s="239" t="s">
        <v>30</v>
      </c>
      <c r="E90" s="239">
        <v>1</v>
      </c>
      <c r="F90" s="267" t="str">
        <f>'Seg 2_Account'!B452</f>
        <v>6425000</v>
      </c>
      <c r="G90" s="291"/>
      <c r="H90" s="239"/>
      <c r="I90" s="260"/>
      <c r="J90" s="260"/>
      <c r="K90" s="260"/>
      <c r="L90" s="260"/>
      <c r="M90" s="313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</row>
    <row r="91" spans="1:25" ht="20.25" customHeight="1">
      <c r="A91" s="291">
        <v>65001</v>
      </c>
      <c r="B91" s="239" t="s">
        <v>135</v>
      </c>
      <c r="C91" s="239" t="s">
        <v>873</v>
      </c>
      <c r="D91" s="239"/>
      <c r="E91" s="239">
        <v>2</v>
      </c>
      <c r="F91" s="293" t="str">
        <f>$F$90</f>
        <v>6425000</v>
      </c>
      <c r="G91" s="294" t="e">
        <f>#REF!</f>
        <v>#REF!</v>
      </c>
      <c r="H91" s="294" t="e">
        <f>VLOOKUP($G91,#REF!,2,0)</f>
        <v>#REF!</v>
      </c>
      <c r="I91" s="260" t="s">
        <v>30</v>
      </c>
      <c r="J91" s="260"/>
      <c r="K91" s="260"/>
      <c r="L91" s="260"/>
      <c r="M91" s="239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</row>
    <row r="92" spans="1:25" ht="20.25" customHeight="1">
      <c r="A92" s="291">
        <f>A91+1</f>
        <v>65002</v>
      </c>
      <c r="B92" s="239" t="s">
        <v>136</v>
      </c>
      <c r="C92" s="239" t="s">
        <v>873</v>
      </c>
      <c r="D92" s="239"/>
      <c r="E92" s="239">
        <v>2</v>
      </c>
      <c r="F92" s="293" t="str">
        <f t="shared" ref="F92:F96" si="15">$F$90</f>
        <v>6425000</v>
      </c>
      <c r="G92" s="294" t="e">
        <f>$G$91</f>
        <v>#REF!</v>
      </c>
      <c r="H92" s="296" t="e">
        <f>VLOOKUP($G92,#REF!,2,0)</f>
        <v>#REF!</v>
      </c>
      <c r="I92" s="260" t="s">
        <v>30</v>
      </c>
      <c r="J92" s="260"/>
      <c r="K92" s="260"/>
      <c r="L92" s="260"/>
      <c r="M92" s="239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</row>
    <row r="93" spans="1:25" s="246" customFormat="1" ht="20.25" customHeight="1">
      <c r="A93" s="291">
        <f t="shared" ref="A93:A95" si="16">A92+1</f>
        <v>65003</v>
      </c>
      <c r="B93" s="314" t="s">
        <v>137</v>
      </c>
      <c r="C93" s="314" t="s">
        <v>873</v>
      </c>
      <c r="D93" s="314"/>
      <c r="E93" s="314">
        <v>2</v>
      </c>
      <c r="F93" s="293" t="str">
        <f t="shared" si="15"/>
        <v>6425000</v>
      </c>
      <c r="G93" s="294" t="e">
        <f t="shared" ref="G93:G96" si="17">$G$91</f>
        <v>#REF!</v>
      </c>
      <c r="H93" s="296" t="e">
        <f>VLOOKUP($G93,#REF!,2,0)</f>
        <v>#REF!</v>
      </c>
      <c r="I93" s="265" t="s">
        <v>30</v>
      </c>
      <c r="J93" s="265"/>
      <c r="K93" s="265"/>
      <c r="L93" s="265"/>
      <c r="M93" s="314"/>
      <c r="N93" s="315"/>
      <c r="O93" s="267"/>
      <c r="P93" s="315"/>
      <c r="Q93" s="315"/>
      <c r="R93" s="315"/>
      <c r="S93" s="315"/>
      <c r="T93" s="315"/>
      <c r="U93" s="315"/>
      <c r="V93" s="315"/>
      <c r="W93" s="315"/>
      <c r="X93" s="315"/>
      <c r="Y93" s="315"/>
    </row>
    <row r="94" spans="1:25" s="246" customFormat="1" ht="20.25" customHeight="1">
      <c r="A94" s="291">
        <f t="shared" si="16"/>
        <v>65004</v>
      </c>
      <c r="B94" s="314" t="s">
        <v>285</v>
      </c>
      <c r="C94" s="314" t="s">
        <v>873</v>
      </c>
      <c r="D94" s="314"/>
      <c r="E94" s="314">
        <v>2</v>
      </c>
      <c r="F94" s="293" t="str">
        <f t="shared" si="15"/>
        <v>6425000</v>
      </c>
      <c r="G94" s="294" t="e">
        <f t="shared" si="17"/>
        <v>#REF!</v>
      </c>
      <c r="H94" s="296" t="e">
        <f>VLOOKUP($G94,#REF!,2,0)</f>
        <v>#REF!</v>
      </c>
      <c r="I94" s="265" t="s">
        <v>30</v>
      </c>
      <c r="J94" s="265"/>
      <c r="K94" s="265"/>
      <c r="L94" s="265"/>
      <c r="M94" s="316"/>
      <c r="N94" s="317"/>
      <c r="O94" s="267"/>
      <c r="P94" s="317"/>
      <c r="Q94" s="317"/>
      <c r="R94" s="317"/>
      <c r="S94" s="317"/>
      <c r="T94" s="317"/>
      <c r="U94" s="317"/>
      <c r="V94" s="317"/>
      <c r="W94" s="317"/>
      <c r="X94" s="317"/>
      <c r="Y94" s="317"/>
    </row>
    <row r="95" spans="1:25" s="246" customFormat="1" ht="20.25" customHeight="1">
      <c r="A95" s="291">
        <f t="shared" si="16"/>
        <v>65005</v>
      </c>
      <c r="B95" s="314" t="s">
        <v>714</v>
      </c>
      <c r="C95" s="314" t="s">
        <v>873</v>
      </c>
      <c r="D95" s="314"/>
      <c r="E95" s="314">
        <v>2</v>
      </c>
      <c r="F95" s="293" t="str">
        <f t="shared" si="15"/>
        <v>6425000</v>
      </c>
      <c r="G95" s="294" t="e">
        <f t="shared" si="17"/>
        <v>#REF!</v>
      </c>
      <c r="H95" s="296" t="e">
        <f>VLOOKUP($G95,#REF!,2,0)</f>
        <v>#REF!</v>
      </c>
      <c r="I95" s="265" t="s">
        <v>30</v>
      </c>
      <c r="J95" s="265"/>
      <c r="K95" s="265"/>
      <c r="L95" s="265"/>
      <c r="M95" s="316"/>
      <c r="N95" s="317"/>
      <c r="O95" s="267"/>
      <c r="P95" s="317"/>
      <c r="Q95" s="317"/>
      <c r="R95" s="317"/>
      <c r="S95" s="317"/>
      <c r="T95" s="317"/>
      <c r="U95" s="317"/>
      <c r="V95" s="317"/>
      <c r="W95" s="317"/>
      <c r="X95" s="317"/>
      <c r="Y95" s="317"/>
    </row>
    <row r="96" spans="1:25" ht="20.25" customHeight="1">
      <c r="A96" s="291">
        <v>65099</v>
      </c>
      <c r="B96" s="239" t="s">
        <v>446</v>
      </c>
      <c r="C96" s="239" t="s">
        <v>873</v>
      </c>
      <c r="D96" s="239"/>
      <c r="E96" s="239">
        <v>2</v>
      </c>
      <c r="F96" s="293" t="str">
        <f t="shared" si="15"/>
        <v>6425000</v>
      </c>
      <c r="G96" s="294" t="e">
        <f t="shared" si="17"/>
        <v>#REF!</v>
      </c>
      <c r="H96" s="296" t="e">
        <f>VLOOKUP($G96,#REF!,2,0)</f>
        <v>#REF!</v>
      </c>
      <c r="I96" s="260" t="s">
        <v>30</v>
      </c>
      <c r="J96" s="260"/>
      <c r="K96" s="260"/>
      <c r="L96" s="260"/>
      <c r="M96" s="298"/>
      <c r="N96" s="295"/>
      <c r="O96" s="267"/>
      <c r="P96" s="295"/>
      <c r="Q96" s="295"/>
      <c r="R96" s="295"/>
      <c r="S96" s="295"/>
      <c r="T96" s="295"/>
      <c r="U96" s="295"/>
      <c r="V96" s="295"/>
      <c r="W96" s="295"/>
      <c r="X96" s="295"/>
      <c r="Y96" s="295"/>
    </row>
    <row r="97" spans="1:25" ht="20.25" customHeight="1">
      <c r="A97" s="297">
        <v>66000</v>
      </c>
      <c r="B97" s="298" t="s">
        <v>715</v>
      </c>
      <c r="C97" s="298" t="s">
        <v>873</v>
      </c>
      <c r="D97" s="239" t="s">
        <v>30</v>
      </c>
      <c r="E97" s="239">
        <v>1</v>
      </c>
      <c r="F97" s="267" t="str">
        <f>'Seg 2_Account'!B437</f>
        <v>6416000</v>
      </c>
      <c r="G97" s="291"/>
      <c r="H97" s="239"/>
      <c r="I97" s="260"/>
      <c r="J97" s="260"/>
      <c r="K97" s="260"/>
      <c r="L97" s="260"/>
      <c r="M97" s="298"/>
      <c r="N97" s="295"/>
      <c r="O97" s="267"/>
      <c r="P97" s="295"/>
      <c r="Q97" s="295"/>
      <c r="R97" s="295"/>
      <c r="S97" s="295"/>
      <c r="T97" s="295"/>
      <c r="U97" s="295"/>
      <c r="V97" s="295"/>
      <c r="W97" s="295"/>
      <c r="X97" s="295"/>
      <c r="Y97" s="295"/>
    </row>
    <row r="98" spans="1:25" s="232" customFormat="1" ht="20.25" customHeight="1">
      <c r="A98" s="291">
        <v>66001</v>
      </c>
      <c r="B98" s="233" t="s">
        <v>716</v>
      </c>
      <c r="C98" s="239" t="s">
        <v>873</v>
      </c>
      <c r="D98" s="260"/>
      <c r="E98" s="239">
        <v>2</v>
      </c>
      <c r="F98" s="293" t="str">
        <f>$F$97</f>
        <v>6416000</v>
      </c>
      <c r="G98" s="294" t="e">
        <f>#REF!</f>
        <v>#REF!</v>
      </c>
      <c r="H98" s="294" t="e">
        <f>VLOOKUP($G98,#REF!,2,0)</f>
        <v>#REF!</v>
      </c>
      <c r="I98" s="260" t="s">
        <v>30</v>
      </c>
      <c r="J98" s="260"/>
      <c r="K98" s="260" t="s">
        <v>693</v>
      </c>
      <c r="L98" s="260"/>
      <c r="M98" s="259"/>
      <c r="N98" s="295"/>
      <c r="O98" s="267"/>
      <c r="P98" s="295"/>
      <c r="Q98" s="295"/>
      <c r="R98" s="295"/>
      <c r="S98" s="295"/>
      <c r="T98" s="295"/>
      <c r="U98" s="295"/>
      <c r="V98" s="295"/>
      <c r="W98" s="295"/>
      <c r="X98" s="295"/>
      <c r="Y98" s="295"/>
    </row>
    <row r="99" spans="1:25" s="232" customFormat="1" ht="20.25" customHeight="1">
      <c r="A99" s="291">
        <f t="shared" ref="A99:A103" si="18">A98+1</f>
        <v>66002</v>
      </c>
      <c r="B99" s="233" t="s">
        <v>717</v>
      </c>
      <c r="C99" s="239" t="s">
        <v>873</v>
      </c>
      <c r="D99" s="260"/>
      <c r="E99" s="239">
        <v>2</v>
      </c>
      <c r="F99" s="293" t="str">
        <f t="shared" ref="F99:F105" si="19">$F$97</f>
        <v>6416000</v>
      </c>
      <c r="G99" s="294" t="e">
        <f>$G$98</f>
        <v>#REF!</v>
      </c>
      <c r="H99" s="294" t="e">
        <f>VLOOKUP($G99,#REF!,2,0)</f>
        <v>#REF!</v>
      </c>
      <c r="I99" s="260" t="s">
        <v>30</v>
      </c>
      <c r="J99" s="260"/>
      <c r="K99" s="260" t="s">
        <v>693</v>
      </c>
      <c r="L99" s="260"/>
      <c r="M99" s="259"/>
      <c r="N99" s="295"/>
      <c r="O99" s="267"/>
      <c r="P99" s="295"/>
      <c r="Q99" s="295"/>
      <c r="R99" s="295"/>
      <c r="S99" s="295"/>
      <c r="T99" s="295"/>
      <c r="U99" s="295"/>
      <c r="V99" s="295"/>
      <c r="W99" s="295"/>
      <c r="X99" s="295"/>
      <c r="Y99" s="295"/>
    </row>
    <row r="100" spans="1:25" s="339" customFormat="1" ht="20.25" customHeight="1">
      <c r="A100" s="333">
        <f t="shared" si="18"/>
        <v>66003</v>
      </c>
      <c r="B100" s="334" t="s">
        <v>718</v>
      </c>
      <c r="C100" s="334" t="s">
        <v>873</v>
      </c>
      <c r="D100" s="334"/>
      <c r="E100" s="334">
        <v>2</v>
      </c>
      <c r="F100" s="340" t="str">
        <f t="shared" si="19"/>
        <v>6416000</v>
      </c>
      <c r="G100" s="338" t="e">
        <f>#REF!</f>
        <v>#REF!</v>
      </c>
      <c r="H100" s="338" t="e">
        <f>VLOOKUP($G100,#REF!,2,0)</f>
        <v>#REF!</v>
      </c>
      <c r="I100" s="336" t="s">
        <v>30</v>
      </c>
      <c r="J100" s="336" t="s">
        <v>531</v>
      </c>
      <c r="K100" s="336" t="s">
        <v>693</v>
      </c>
      <c r="L100" s="334"/>
      <c r="M100" s="341" t="s">
        <v>931</v>
      </c>
      <c r="N100" s="344" t="s">
        <v>972</v>
      </c>
      <c r="O100" s="335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</row>
    <row r="101" spans="1:25" s="232" customFormat="1" ht="20.25" customHeight="1">
      <c r="A101" s="291">
        <f t="shared" si="18"/>
        <v>66004</v>
      </c>
      <c r="B101" s="233" t="s">
        <v>719</v>
      </c>
      <c r="C101" s="239" t="s">
        <v>873</v>
      </c>
      <c r="D101" s="260"/>
      <c r="E101" s="239">
        <v>2</v>
      </c>
      <c r="F101" s="293" t="str">
        <f t="shared" si="19"/>
        <v>6416000</v>
      </c>
      <c r="G101" s="294" t="e">
        <f>$G$98</f>
        <v>#REF!</v>
      </c>
      <c r="H101" s="294" t="e">
        <f>VLOOKUP($G101,#REF!,2,0)</f>
        <v>#REF!</v>
      </c>
      <c r="I101" s="260" t="s">
        <v>30</v>
      </c>
      <c r="J101" s="260"/>
      <c r="K101" s="260" t="s">
        <v>693</v>
      </c>
      <c r="L101" s="260"/>
      <c r="M101" s="259"/>
      <c r="N101" s="295"/>
      <c r="O101" s="267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</row>
    <row r="102" spans="1:25" s="343" customFormat="1" ht="20.25" customHeight="1">
      <c r="A102" s="333">
        <f t="shared" si="18"/>
        <v>66005</v>
      </c>
      <c r="B102" s="342" t="s">
        <v>720</v>
      </c>
      <c r="C102" s="334" t="s">
        <v>873</v>
      </c>
      <c r="D102" s="336"/>
      <c r="E102" s="334">
        <v>2</v>
      </c>
      <c r="F102" s="340" t="str">
        <f t="shared" si="19"/>
        <v>6416000</v>
      </c>
      <c r="G102" s="338" t="e">
        <f>#REF!</f>
        <v>#REF!</v>
      </c>
      <c r="H102" s="338" t="e">
        <f>VLOOKUP($G102,#REF!,2,0)</f>
        <v>#REF!</v>
      </c>
      <c r="I102" s="336" t="s">
        <v>30</v>
      </c>
      <c r="J102" s="336" t="s">
        <v>531</v>
      </c>
      <c r="K102" s="336" t="s">
        <v>693</v>
      </c>
      <c r="L102" s="336"/>
      <c r="M102" s="341" t="s">
        <v>930</v>
      </c>
      <c r="N102" s="344" t="s">
        <v>972</v>
      </c>
      <c r="O102" s="335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</row>
    <row r="103" spans="1:25" s="343" customFormat="1" ht="20.25" customHeight="1">
      <c r="A103" s="333">
        <f t="shared" si="18"/>
        <v>66006</v>
      </c>
      <c r="B103" s="342" t="s">
        <v>721</v>
      </c>
      <c r="C103" s="334" t="s">
        <v>873</v>
      </c>
      <c r="D103" s="336"/>
      <c r="E103" s="334">
        <v>2</v>
      </c>
      <c r="F103" s="340" t="str">
        <f t="shared" si="19"/>
        <v>6416000</v>
      </c>
      <c r="G103" s="338" t="e">
        <f>#REF!</f>
        <v>#REF!</v>
      </c>
      <c r="H103" s="338" t="e">
        <f>VLOOKUP($G103,#REF!,2,0)</f>
        <v>#REF!</v>
      </c>
      <c r="I103" s="336" t="s">
        <v>30</v>
      </c>
      <c r="J103" s="336" t="s">
        <v>531</v>
      </c>
      <c r="K103" s="336" t="s">
        <v>693</v>
      </c>
      <c r="L103" s="336" t="s">
        <v>531</v>
      </c>
      <c r="M103" s="266"/>
      <c r="N103" s="344" t="s">
        <v>972</v>
      </c>
      <c r="O103" s="335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</row>
    <row r="104" spans="1:25" s="232" customFormat="1" ht="20.25" customHeight="1">
      <c r="A104" s="291">
        <f>A103+1</f>
        <v>66007</v>
      </c>
      <c r="B104" s="233" t="s">
        <v>292</v>
      </c>
      <c r="C104" s="239" t="s">
        <v>873</v>
      </c>
      <c r="D104" s="260"/>
      <c r="E104" s="239">
        <v>2</v>
      </c>
      <c r="F104" s="293" t="str">
        <f t="shared" si="19"/>
        <v>6416000</v>
      </c>
      <c r="G104" s="294" t="e">
        <f>$G$98</f>
        <v>#REF!</v>
      </c>
      <c r="H104" s="294" t="e">
        <f>VLOOKUP($G104,#REF!,2,0)</f>
        <v>#REF!</v>
      </c>
      <c r="I104" s="260" t="s">
        <v>30</v>
      </c>
      <c r="J104" s="260"/>
      <c r="K104" s="260" t="s">
        <v>693</v>
      </c>
      <c r="L104" s="260"/>
      <c r="M104" s="233"/>
      <c r="N104" s="312"/>
      <c r="O104" s="267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spans="1:25" ht="20.25" customHeight="1">
      <c r="A105" s="291">
        <v>66999</v>
      </c>
      <c r="B105" s="239" t="s">
        <v>722</v>
      </c>
      <c r="C105" s="239" t="s">
        <v>873</v>
      </c>
      <c r="D105" s="239"/>
      <c r="E105" s="239"/>
      <c r="F105" s="293" t="str">
        <f t="shared" si="19"/>
        <v>6416000</v>
      </c>
      <c r="G105" s="294" t="e">
        <f>$G$98</f>
        <v>#REF!</v>
      </c>
      <c r="H105" s="294" t="e">
        <f>VLOOKUP($G105,#REF!,2,0)</f>
        <v>#REF!</v>
      </c>
      <c r="I105" s="260"/>
      <c r="J105" s="260"/>
      <c r="K105" s="260"/>
      <c r="L105" s="260"/>
      <c r="M105" s="239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</row>
    <row r="106" spans="1:25" ht="20.25" customHeight="1">
      <c r="A106" s="297">
        <v>67100</v>
      </c>
      <c r="B106" s="298" t="s">
        <v>723</v>
      </c>
      <c r="C106" s="298" t="s">
        <v>873</v>
      </c>
      <c r="D106" s="239" t="s">
        <v>30</v>
      </c>
      <c r="E106" s="239">
        <v>1</v>
      </c>
      <c r="F106" s="267" t="str">
        <f>'Seg 2_Account'!B439</f>
        <v>6417000</v>
      </c>
      <c r="G106" s="291"/>
      <c r="H106" s="239"/>
      <c r="I106" s="260"/>
      <c r="J106" s="260"/>
      <c r="K106" s="260"/>
      <c r="L106" s="260"/>
      <c r="M106" s="298"/>
      <c r="N106" s="295"/>
      <c r="O106" s="267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</row>
    <row r="107" spans="1:25" s="232" customFormat="1" ht="20.25" customHeight="1">
      <c r="A107" s="291">
        <v>67101</v>
      </c>
      <c r="B107" s="233" t="s">
        <v>724</v>
      </c>
      <c r="C107" s="239" t="s">
        <v>873</v>
      </c>
      <c r="D107" s="260"/>
      <c r="E107" s="239">
        <v>2</v>
      </c>
      <c r="F107" s="293" t="str">
        <f>$F$106</f>
        <v>6417000</v>
      </c>
      <c r="G107" s="294" t="e">
        <f>#REF!</f>
        <v>#REF!</v>
      </c>
      <c r="H107" s="294" t="e">
        <f>VLOOKUP($G107,#REF!,2,0)</f>
        <v>#REF!</v>
      </c>
      <c r="I107" s="260" t="s">
        <v>30</v>
      </c>
      <c r="J107" s="260"/>
      <c r="K107" s="260" t="s">
        <v>693</v>
      </c>
      <c r="L107" s="260" t="s">
        <v>531</v>
      </c>
      <c r="M107" s="259"/>
      <c r="N107" s="295"/>
      <c r="O107" s="267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</row>
    <row r="108" spans="1:25" s="232" customFormat="1" ht="20.25" customHeight="1">
      <c r="A108" s="291">
        <f t="shared" ref="A108:A112" si="20">A107+1</f>
        <v>67102</v>
      </c>
      <c r="B108" s="233" t="s">
        <v>725</v>
      </c>
      <c r="C108" s="239" t="s">
        <v>873</v>
      </c>
      <c r="D108" s="260"/>
      <c r="E108" s="239">
        <v>2</v>
      </c>
      <c r="F108" s="293" t="str">
        <f t="shared" ref="F108:F113" si="21">$F$106</f>
        <v>6417000</v>
      </c>
      <c r="G108" s="294" t="e">
        <f>$G$107</f>
        <v>#REF!</v>
      </c>
      <c r="H108" s="294" t="e">
        <f>VLOOKUP($G108,#REF!,2,0)</f>
        <v>#REF!</v>
      </c>
      <c r="I108" s="260" t="s">
        <v>30</v>
      </c>
      <c r="J108" s="260"/>
      <c r="K108" s="260" t="s">
        <v>693</v>
      </c>
      <c r="L108" s="260" t="s">
        <v>531</v>
      </c>
      <c r="M108" s="259"/>
      <c r="N108" s="295"/>
      <c r="O108" s="267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</row>
    <row r="109" spans="1:25" s="232" customFormat="1" ht="20.25" customHeight="1">
      <c r="A109" s="291">
        <f t="shared" si="20"/>
        <v>67103</v>
      </c>
      <c r="B109" s="233" t="s">
        <v>726</v>
      </c>
      <c r="C109" s="239" t="s">
        <v>873</v>
      </c>
      <c r="D109" s="260"/>
      <c r="E109" s="239">
        <v>2</v>
      </c>
      <c r="F109" s="293" t="str">
        <f t="shared" si="21"/>
        <v>6417000</v>
      </c>
      <c r="G109" s="294" t="e">
        <f t="shared" ref="G109:G113" si="22">$G$107</f>
        <v>#REF!</v>
      </c>
      <c r="H109" s="294" t="e">
        <f>VLOOKUP($G109,#REF!,2,0)</f>
        <v>#REF!</v>
      </c>
      <c r="I109" s="260" t="s">
        <v>30</v>
      </c>
      <c r="J109" s="260"/>
      <c r="K109" s="260" t="s">
        <v>693</v>
      </c>
      <c r="L109" s="260" t="s">
        <v>531</v>
      </c>
      <c r="M109" s="259"/>
      <c r="N109" s="295"/>
      <c r="O109" s="267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</row>
    <row r="110" spans="1:25" s="232" customFormat="1" ht="20.25" customHeight="1">
      <c r="A110" s="291">
        <f t="shared" si="20"/>
        <v>67104</v>
      </c>
      <c r="B110" s="233" t="s">
        <v>727</v>
      </c>
      <c r="C110" s="239" t="s">
        <v>873</v>
      </c>
      <c r="D110" s="260"/>
      <c r="E110" s="239">
        <v>2</v>
      </c>
      <c r="F110" s="293" t="str">
        <f t="shared" si="21"/>
        <v>6417000</v>
      </c>
      <c r="G110" s="294" t="e">
        <f t="shared" si="22"/>
        <v>#REF!</v>
      </c>
      <c r="H110" s="294" t="e">
        <f>VLOOKUP($G110,#REF!,2,0)</f>
        <v>#REF!</v>
      </c>
      <c r="I110" s="260" t="s">
        <v>30</v>
      </c>
      <c r="J110" s="260"/>
      <c r="K110" s="260" t="s">
        <v>693</v>
      </c>
      <c r="L110" s="260" t="s">
        <v>531</v>
      </c>
      <c r="M110" s="259"/>
      <c r="N110" s="295"/>
      <c r="O110" s="267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</row>
    <row r="111" spans="1:25" s="232" customFormat="1" ht="20.25" customHeight="1">
      <c r="A111" s="291">
        <f t="shared" si="20"/>
        <v>67105</v>
      </c>
      <c r="B111" s="233" t="s">
        <v>728</v>
      </c>
      <c r="C111" s="239" t="s">
        <v>873</v>
      </c>
      <c r="D111" s="260"/>
      <c r="E111" s="239">
        <v>2</v>
      </c>
      <c r="F111" s="293" t="str">
        <f t="shared" si="21"/>
        <v>6417000</v>
      </c>
      <c r="G111" s="294" t="e">
        <f t="shared" si="22"/>
        <v>#REF!</v>
      </c>
      <c r="H111" s="294" t="e">
        <f>VLOOKUP($G111,#REF!,2,0)</f>
        <v>#REF!</v>
      </c>
      <c r="I111" s="260" t="s">
        <v>30</v>
      </c>
      <c r="J111" s="260"/>
      <c r="K111" s="260" t="s">
        <v>693</v>
      </c>
      <c r="L111" s="260" t="s">
        <v>531</v>
      </c>
      <c r="M111" s="259"/>
      <c r="N111" s="295"/>
      <c r="O111" s="267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</row>
    <row r="112" spans="1:25" s="232" customFormat="1" ht="20.25" customHeight="1">
      <c r="A112" s="291">
        <f t="shared" si="20"/>
        <v>67106</v>
      </c>
      <c r="B112" s="233" t="s">
        <v>729</v>
      </c>
      <c r="C112" s="239" t="s">
        <v>873</v>
      </c>
      <c r="D112" s="260"/>
      <c r="E112" s="239">
        <v>2</v>
      </c>
      <c r="F112" s="293" t="str">
        <f t="shared" si="21"/>
        <v>6417000</v>
      </c>
      <c r="G112" s="294" t="e">
        <f t="shared" si="22"/>
        <v>#REF!</v>
      </c>
      <c r="H112" s="294" t="e">
        <f>VLOOKUP($G112,#REF!,2,0)</f>
        <v>#REF!</v>
      </c>
      <c r="I112" s="260" t="s">
        <v>30</v>
      </c>
      <c r="J112" s="260"/>
      <c r="K112" s="260" t="s">
        <v>693</v>
      </c>
      <c r="L112" s="260" t="s">
        <v>531</v>
      </c>
      <c r="M112" s="239" t="s">
        <v>730</v>
      </c>
      <c r="N112" s="295"/>
      <c r="O112" s="267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</row>
    <row r="113" spans="1:25" s="232" customFormat="1" ht="20.25" customHeight="1">
      <c r="A113" s="291">
        <v>67199</v>
      </c>
      <c r="B113" s="233" t="s">
        <v>731</v>
      </c>
      <c r="C113" s="239" t="s">
        <v>873</v>
      </c>
      <c r="D113" s="260"/>
      <c r="E113" s="239">
        <v>2</v>
      </c>
      <c r="F113" s="293" t="str">
        <f t="shared" si="21"/>
        <v>6417000</v>
      </c>
      <c r="G113" s="294" t="e">
        <f t="shared" si="22"/>
        <v>#REF!</v>
      </c>
      <c r="H113" s="294" t="e">
        <f>VLOOKUP($G113,#REF!,2,0)</f>
        <v>#REF!</v>
      </c>
      <c r="I113" s="260" t="s">
        <v>30</v>
      </c>
      <c r="J113" s="260"/>
      <c r="K113" s="260" t="s">
        <v>693</v>
      </c>
      <c r="L113" s="260" t="s">
        <v>531</v>
      </c>
      <c r="M113" s="239" t="s">
        <v>732</v>
      </c>
      <c r="N113" s="267"/>
      <c r="O113" s="267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</row>
    <row r="114" spans="1:25" ht="20.25" customHeight="1">
      <c r="A114" s="297">
        <v>67200</v>
      </c>
      <c r="B114" s="298" t="s">
        <v>733</v>
      </c>
      <c r="C114" s="298" t="s">
        <v>873</v>
      </c>
      <c r="D114" s="239" t="s">
        <v>30</v>
      </c>
      <c r="E114" s="239">
        <v>1</v>
      </c>
      <c r="F114" s="293" t="str">
        <f>'Seg 2_Account'!B439</f>
        <v>6417000</v>
      </c>
      <c r="G114" s="294"/>
      <c r="H114" s="296"/>
      <c r="I114" s="260"/>
      <c r="J114" s="260"/>
      <c r="K114" s="260"/>
      <c r="L114" s="260"/>
      <c r="M114" s="298"/>
      <c r="N114" s="295"/>
      <c r="O114" s="267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</row>
    <row r="115" spans="1:25" ht="20.25" customHeight="1">
      <c r="A115" s="291">
        <v>67201</v>
      </c>
      <c r="B115" s="239" t="s">
        <v>734</v>
      </c>
      <c r="C115" s="239" t="s">
        <v>873</v>
      </c>
      <c r="D115" s="239"/>
      <c r="E115" s="239">
        <v>2</v>
      </c>
      <c r="F115" s="293" t="str">
        <f>$F$114</f>
        <v>6417000</v>
      </c>
      <c r="G115" s="294" t="e">
        <f>#REF!</f>
        <v>#REF!</v>
      </c>
      <c r="H115" s="294" t="e">
        <f>VLOOKUP($G115,#REF!,2,0)</f>
        <v>#REF!</v>
      </c>
      <c r="I115" s="260" t="s">
        <v>30</v>
      </c>
      <c r="J115" s="260"/>
      <c r="K115" s="260"/>
      <c r="L115" s="260"/>
      <c r="M115" s="239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</row>
    <row r="116" spans="1:25" s="232" customFormat="1" ht="20.25" customHeight="1">
      <c r="A116" s="291">
        <f>A115+1</f>
        <v>67202</v>
      </c>
      <c r="B116" s="233" t="s">
        <v>735</v>
      </c>
      <c r="C116" s="239" t="s">
        <v>873</v>
      </c>
      <c r="D116" s="260"/>
      <c r="E116" s="239">
        <v>2</v>
      </c>
      <c r="F116" s="293" t="str">
        <f t="shared" ref="F116:F117" si="23">$F$114</f>
        <v>6417000</v>
      </c>
      <c r="G116" s="294" t="e">
        <f>$G$115</f>
        <v>#REF!</v>
      </c>
      <c r="H116" s="294" t="e">
        <f>VLOOKUP($G116,#REF!,2,0)</f>
        <v>#REF!</v>
      </c>
      <c r="I116" s="260" t="s">
        <v>30</v>
      </c>
      <c r="J116" s="260"/>
      <c r="K116" s="260" t="s">
        <v>693</v>
      </c>
      <c r="L116" s="260"/>
      <c r="M116" s="260" t="s">
        <v>736</v>
      </c>
      <c r="N116" s="312"/>
      <c r="O116" s="267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spans="1:25" ht="20.25" customHeight="1">
      <c r="A117" s="291">
        <v>67299</v>
      </c>
      <c r="B117" s="239" t="s">
        <v>737</v>
      </c>
      <c r="C117" s="239" t="s">
        <v>873</v>
      </c>
      <c r="D117" s="239"/>
      <c r="E117" s="239">
        <v>2</v>
      </c>
      <c r="F117" s="293" t="str">
        <f t="shared" si="23"/>
        <v>6417000</v>
      </c>
      <c r="G117" s="294" t="e">
        <f>$G$115</f>
        <v>#REF!</v>
      </c>
      <c r="H117" s="294" t="e">
        <f>VLOOKUP($G117,#REF!,2,0)</f>
        <v>#REF!</v>
      </c>
      <c r="I117" s="260"/>
      <c r="J117" s="260"/>
      <c r="K117" s="260"/>
      <c r="L117" s="260"/>
      <c r="M117" s="239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</row>
    <row r="118" spans="1:25" ht="20.25" customHeight="1">
      <c r="A118" s="297">
        <v>67300</v>
      </c>
      <c r="B118" s="298" t="s">
        <v>219</v>
      </c>
      <c r="C118" s="298" t="s">
        <v>873</v>
      </c>
      <c r="D118" s="239" t="s">
        <v>30</v>
      </c>
      <c r="E118" s="239">
        <v>1</v>
      </c>
      <c r="F118" s="267" t="str">
        <f>'Seg 2_Account'!B439&amp;", "&amp;'Seg 2_Account'!B457</f>
        <v>6417000, 6427000</v>
      </c>
      <c r="G118" s="291"/>
      <c r="H118" s="239"/>
      <c r="I118" s="260"/>
      <c r="J118" s="260"/>
      <c r="K118" s="260"/>
      <c r="L118" s="260"/>
      <c r="M118" s="239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</row>
    <row r="119" spans="1:25" ht="20.25" customHeight="1">
      <c r="A119" s="291">
        <v>67301</v>
      </c>
      <c r="B119" s="239" t="s">
        <v>286</v>
      </c>
      <c r="C119" s="239" t="s">
        <v>873</v>
      </c>
      <c r="D119" s="239"/>
      <c r="E119" s="239">
        <v>2</v>
      </c>
      <c r="F119" s="293" t="str">
        <f>$F$118</f>
        <v>6417000, 6427000</v>
      </c>
      <c r="G119" s="294" t="s">
        <v>937</v>
      </c>
      <c r="H119" s="296" t="s">
        <v>937</v>
      </c>
      <c r="I119" s="260" t="s">
        <v>30</v>
      </c>
      <c r="J119" s="260"/>
      <c r="K119" s="260"/>
      <c r="L119" s="260"/>
      <c r="M119" s="239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</row>
    <row r="120" spans="1:25" ht="20.25" customHeight="1">
      <c r="A120" s="291">
        <f t="shared" ref="A120:A141" si="24">A119+1</f>
        <v>67302</v>
      </c>
      <c r="B120" s="239" t="s">
        <v>287</v>
      </c>
      <c r="C120" s="239" t="s">
        <v>873</v>
      </c>
      <c r="D120" s="239"/>
      <c r="E120" s="239">
        <v>2</v>
      </c>
      <c r="F120" s="293" t="str">
        <f t="shared" ref="F120:F142" si="25">$F$118</f>
        <v>6417000, 6427000</v>
      </c>
      <c r="G120" s="294" t="s">
        <v>937</v>
      </c>
      <c r="H120" s="296" t="s">
        <v>937</v>
      </c>
      <c r="I120" s="260" t="s">
        <v>30</v>
      </c>
      <c r="J120" s="260"/>
      <c r="K120" s="260"/>
      <c r="L120" s="260"/>
      <c r="M120" s="239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</row>
    <row r="121" spans="1:25" ht="20.25" customHeight="1">
      <c r="A121" s="291">
        <f t="shared" si="24"/>
        <v>67303</v>
      </c>
      <c r="B121" s="239" t="s">
        <v>738</v>
      </c>
      <c r="C121" s="239" t="s">
        <v>873</v>
      </c>
      <c r="D121" s="239"/>
      <c r="E121" s="239">
        <v>2</v>
      </c>
      <c r="F121" s="293" t="str">
        <f t="shared" si="25"/>
        <v>6417000, 6427000</v>
      </c>
      <c r="G121" s="294" t="s">
        <v>937</v>
      </c>
      <c r="H121" s="296" t="s">
        <v>937</v>
      </c>
      <c r="I121" s="260" t="s">
        <v>30</v>
      </c>
      <c r="J121" s="260"/>
      <c r="K121" s="260"/>
      <c r="L121" s="260"/>
      <c r="M121" s="239" t="s">
        <v>739</v>
      </c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</row>
    <row r="122" spans="1:25" ht="20.25" customHeight="1">
      <c r="A122" s="291">
        <f t="shared" si="24"/>
        <v>67304</v>
      </c>
      <c r="B122" s="239" t="s">
        <v>740</v>
      </c>
      <c r="C122" s="239" t="s">
        <v>873</v>
      </c>
      <c r="D122" s="239"/>
      <c r="E122" s="239">
        <v>2</v>
      </c>
      <c r="F122" s="293" t="str">
        <f t="shared" si="25"/>
        <v>6417000, 6427000</v>
      </c>
      <c r="G122" s="294" t="s">
        <v>937</v>
      </c>
      <c r="H122" s="296" t="s">
        <v>937</v>
      </c>
      <c r="I122" s="260" t="s">
        <v>30</v>
      </c>
      <c r="J122" s="260"/>
      <c r="K122" s="260"/>
      <c r="L122" s="260"/>
      <c r="M122" s="239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</row>
    <row r="123" spans="1:25" ht="20.25" customHeight="1">
      <c r="A123" s="291">
        <f t="shared" si="24"/>
        <v>67305</v>
      </c>
      <c r="B123" s="239" t="s">
        <v>741</v>
      </c>
      <c r="C123" s="239" t="s">
        <v>873</v>
      </c>
      <c r="D123" s="239"/>
      <c r="E123" s="239">
        <v>2</v>
      </c>
      <c r="F123" s="293" t="str">
        <f t="shared" si="25"/>
        <v>6417000, 6427000</v>
      </c>
      <c r="G123" s="294" t="s">
        <v>937</v>
      </c>
      <c r="H123" s="296" t="s">
        <v>937</v>
      </c>
      <c r="I123" s="260" t="s">
        <v>30</v>
      </c>
      <c r="J123" s="260"/>
      <c r="K123" s="260"/>
      <c r="L123" s="260"/>
      <c r="M123" s="239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</row>
    <row r="124" spans="1:25" ht="20.25" customHeight="1">
      <c r="A124" s="291">
        <f t="shared" si="24"/>
        <v>67306</v>
      </c>
      <c r="B124" s="239" t="s">
        <v>742</v>
      </c>
      <c r="C124" s="239" t="s">
        <v>873</v>
      </c>
      <c r="D124" s="239"/>
      <c r="E124" s="239">
        <v>2</v>
      </c>
      <c r="F124" s="293" t="str">
        <f t="shared" si="25"/>
        <v>6417000, 6427000</v>
      </c>
      <c r="G124" s="294" t="s">
        <v>937</v>
      </c>
      <c r="H124" s="296" t="s">
        <v>937</v>
      </c>
      <c r="I124" s="260" t="s">
        <v>30</v>
      </c>
      <c r="J124" s="260"/>
      <c r="K124" s="260"/>
      <c r="L124" s="260"/>
      <c r="M124" s="239" t="s">
        <v>743</v>
      </c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</row>
    <row r="125" spans="1:25" ht="20.25" customHeight="1">
      <c r="A125" s="291">
        <f t="shared" si="24"/>
        <v>67307</v>
      </c>
      <c r="B125" s="239" t="s">
        <v>744</v>
      </c>
      <c r="C125" s="239" t="s">
        <v>873</v>
      </c>
      <c r="D125" s="239"/>
      <c r="E125" s="239">
        <v>2</v>
      </c>
      <c r="F125" s="293" t="str">
        <f t="shared" si="25"/>
        <v>6417000, 6427000</v>
      </c>
      <c r="G125" s="294" t="s">
        <v>937</v>
      </c>
      <c r="H125" s="296" t="s">
        <v>937</v>
      </c>
      <c r="I125" s="260" t="s">
        <v>30</v>
      </c>
      <c r="J125" s="260"/>
      <c r="K125" s="260"/>
      <c r="L125" s="260"/>
      <c r="M125" s="239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</row>
    <row r="126" spans="1:25" ht="20.25" customHeight="1">
      <c r="A126" s="291">
        <f t="shared" si="24"/>
        <v>67308</v>
      </c>
      <c r="B126" s="239" t="s">
        <v>745</v>
      </c>
      <c r="C126" s="239" t="s">
        <v>873</v>
      </c>
      <c r="D126" s="239"/>
      <c r="E126" s="239">
        <v>2</v>
      </c>
      <c r="F126" s="293" t="str">
        <f t="shared" si="25"/>
        <v>6417000, 6427000</v>
      </c>
      <c r="G126" s="294" t="s">
        <v>937</v>
      </c>
      <c r="H126" s="296" t="s">
        <v>937</v>
      </c>
      <c r="I126" s="260" t="s">
        <v>30</v>
      </c>
      <c r="J126" s="260"/>
      <c r="K126" s="260"/>
      <c r="L126" s="260"/>
      <c r="M126" s="239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</row>
    <row r="127" spans="1:25" ht="20.25" customHeight="1">
      <c r="A127" s="291">
        <f t="shared" si="24"/>
        <v>67309</v>
      </c>
      <c r="B127" s="239" t="s">
        <v>746</v>
      </c>
      <c r="C127" s="239" t="s">
        <v>873</v>
      </c>
      <c r="D127" s="239"/>
      <c r="E127" s="239">
        <v>2</v>
      </c>
      <c r="F127" s="293" t="str">
        <f>'Seg 2_Account'!B439</f>
        <v>6417000</v>
      </c>
      <c r="G127" s="294" t="e">
        <f>#REF!</f>
        <v>#REF!</v>
      </c>
      <c r="H127" s="294" t="e">
        <f>VLOOKUP($G127,#REF!,2,0)</f>
        <v>#REF!</v>
      </c>
      <c r="I127" s="260" t="s">
        <v>30</v>
      </c>
      <c r="J127" s="260"/>
      <c r="K127" s="260"/>
      <c r="L127" s="260"/>
      <c r="M127" s="239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</row>
    <row r="128" spans="1:25" ht="20.25" customHeight="1">
      <c r="A128" s="291">
        <f t="shared" si="24"/>
        <v>67310</v>
      </c>
      <c r="B128" s="239" t="s">
        <v>747</v>
      </c>
      <c r="C128" s="239" t="s">
        <v>873</v>
      </c>
      <c r="D128" s="239"/>
      <c r="E128" s="239">
        <v>2</v>
      </c>
      <c r="F128" s="293" t="str">
        <f>$F$127</f>
        <v>6417000</v>
      </c>
      <c r="G128" s="294" t="e">
        <f>#REF!</f>
        <v>#REF!</v>
      </c>
      <c r="H128" s="294" t="e">
        <f>VLOOKUP($G128,#REF!,2,0)</f>
        <v>#REF!</v>
      </c>
      <c r="I128" s="260" t="s">
        <v>30</v>
      </c>
      <c r="J128" s="260"/>
      <c r="K128" s="260"/>
      <c r="L128" s="260"/>
      <c r="M128" s="239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</row>
    <row r="129" spans="1:25" ht="20.25" customHeight="1">
      <c r="A129" s="291">
        <f t="shared" si="24"/>
        <v>67311</v>
      </c>
      <c r="B129" s="239" t="s">
        <v>748</v>
      </c>
      <c r="C129" s="239" t="s">
        <v>873</v>
      </c>
      <c r="D129" s="239"/>
      <c r="E129" s="239">
        <v>2</v>
      </c>
      <c r="F129" s="293" t="str">
        <f t="shared" si="25"/>
        <v>6417000, 6427000</v>
      </c>
      <c r="G129" s="294" t="s">
        <v>937</v>
      </c>
      <c r="H129" s="296" t="s">
        <v>937</v>
      </c>
      <c r="I129" s="260" t="s">
        <v>30</v>
      </c>
      <c r="J129" s="260"/>
      <c r="K129" s="260"/>
      <c r="L129" s="260"/>
      <c r="M129" s="239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</row>
    <row r="130" spans="1:25" ht="20.25" customHeight="1">
      <c r="A130" s="291">
        <f t="shared" si="24"/>
        <v>67312</v>
      </c>
      <c r="B130" s="239" t="s">
        <v>749</v>
      </c>
      <c r="C130" s="239" t="s">
        <v>873</v>
      </c>
      <c r="D130" s="239"/>
      <c r="E130" s="239">
        <v>2</v>
      </c>
      <c r="F130" s="293" t="str">
        <f t="shared" si="25"/>
        <v>6417000, 6427000</v>
      </c>
      <c r="G130" s="294" t="s">
        <v>937</v>
      </c>
      <c r="H130" s="296" t="s">
        <v>937</v>
      </c>
      <c r="I130" s="260"/>
      <c r="J130" s="260"/>
      <c r="K130" s="260"/>
      <c r="L130" s="260"/>
      <c r="M130" s="239" t="s">
        <v>739</v>
      </c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</row>
    <row r="131" spans="1:25" ht="20.25" customHeight="1">
      <c r="A131" s="291">
        <f t="shared" si="24"/>
        <v>67313</v>
      </c>
      <c r="B131" s="239" t="s">
        <v>750</v>
      </c>
      <c r="C131" s="239" t="s">
        <v>873</v>
      </c>
      <c r="D131" s="239"/>
      <c r="E131" s="239">
        <v>2</v>
      </c>
      <c r="F131" s="293" t="str">
        <f t="shared" si="25"/>
        <v>6417000, 6427000</v>
      </c>
      <c r="G131" s="294" t="s">
        <v>937</v>
      </c>
      <c r="H131" s="296" t="s">
        <v>937</v>
      </c>
      <c r="I131" s="260" t="s">
        <v>30</v>
      </c>
      <c r="J131" s="260"/>
      <c r="K131" s="260"/>
      <c r="L131" s="260"/>
      <c r="M131" s="239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</row>
    <row r="132" spans="1:25" ht="20.25" customHeight="1">
      <c r="A132" s="291">
        <f t="shared" si="24"/>
        <v>67314</v>
      </c>
      <c r="B132" s="239" t="s">
        <v>445</v>
      </c>
      <c r="C132" s="239" t="s">
        <v>873</v>
      </c>
      <c r="D132" s="239"/>
      <c r="E132" s="239">
        <v>2</v>
      </c>
      <c r="F132" s="293" t="str">
        <f t="shared" si="25"/>
        <v>6417000, 6427000</v>
      </c>
      <c r="G132" s="294" t="s">
        <v>937</v>
      </c>
      <c r="H132" s="296" t="s">
        <v>937</v>
      </c>
      <c r="I132" s="260" t="s">
        <v>30</v>
      </c>
      <c r="J132" s="260"/>
      <c r="K132" s="260"/>
      <c r="L132" s="260"/>
      <c r="M132" s="239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</row>
    <row r="133" spans="1:25" ht="20.25" customHeight="1">
      <c r="A133" s="291">
        <f t="shared" si="24"/>
        <v>67315</v>
      </c>
      <c r="B133" s="239" t="s">
        <v>751</v>
      </c>
      <c r="C133" s="239" t="s">
        <v>873</v>
      </c>
      <c r="D133" s="239"/>
      <c r="E133" s="239">
        <v>2</v>
      </c>
      <c r="F133" s="293" t="str">
        <f t="shared" si="25"/>
        <v>6417000, 6427000</v>
      </c>
      <c r="G133" s="294" t="e">
        <f>#REF!</f>
        <v>#REF!</v>
      </c>
      <c r="H133" s="294" t="e">
        <f>VLOOKUP($G133,#REF!,2,0)</f>
        <v>#REF!</v>
      </c>
      <c r="I133" s="260" t="s">
        <v>30</v>
      </c>
      <c r="J133" s="260"/>
      <c r="K133" s="260"/>
      <c r="L133" s="260"/>
      <c r="M133" s="239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</row>
    <row r="134" spans="1:25" ht="20.25" customHeight="1">
      <c r="A134" s="291">
        <f t="shared" si="24"/>
        <v>67316</v>
      </c>
      <c r="B134" s="239" t="s">
        <v>288</v>
      </c>
      <c r="C134" s="239" t="s">
        <v>873</v>
      </c>
      <c r="D134" s="239"/>
      <c r="E134" s="239">
        <v>2</v>
      </c>
      <c r="F134" s="293" t="str">
        <f>F141</f>
        <v>6427000</v>
      </c>
      <c r="G134" s="294" t="e">
        <f>$G$133</f>
        <v>#REF!</v>
      </c>
      <c r="H134" s="294" t="e">
        <f>VLOOKUP($G134,#REF!,2,0)</f>
        <v>#REF!</v>
      </c>
      <c r="I134" s="260" t="s">
        <v>30</v>
      </c>
      <c r="J134" s="260"/>
      <c r="K134" s="260"/>
      <c r="L134" s="260"/>
      <c r="M134" s="239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</row>
    <row r="135" spans="1:25" ht="20.25" customHeight="1">
      <c r="A135" s="291">
        <f t="shared" si="24"/>
        <v>67317</v>
      </c>
      <c r="B135" s="239" t="s">
        <v>752</v>
      </c>
      <c r="C135" s="239" t="s">
        <v>873</v>
      </c>
      <c r="D135" s="239"/>
      <c r="E135" s="239">
        <v>2</v>
      </c>
      <c r="F135" s="293" t="str">
        <f>$F$118</f>
        <v>6417000, 6427000</v>
      </c>
      <c r="G135" s="294" t="s">
        <v>937</v>
      </c>
      <c r="H135" s="296" t="s">
        <v>937</v>
      </c>
      <c r="I135" s="260" t="s">
        <v>30</v>
      </c>
      <c r="J135" s="260"/>
      <c r="K135" s="260"/>
      <c r="L135" s="260" t="s">
        <v>531</v>
      </c>
      <c r="M135" s="239" t="s">
        <v>753</v>
      </c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</row>
    <row r="136" spans="1:25" ht="20.25" customHeight="1">
      <c r="A136" s="291">
        <f t="shared" si="24"/>
        <v>67318</v>
      </c>
      <c r="B136" s="239" t="s">
        <v>754</v>
      </c>
      <c r="C136" s="239" t="s">
        <v>873</v>
      </c>
      <c r="D136" s="239"/>
      <c r="E136" s="239">
        <v>2</v>
      </c>
      <c r="F136" s="293" t="str">
        <f t="shared" si="25"/>
        <v>6417000, 6427000</v>
      </c>
      <c r="G136" s="294" t="s">
        <v>937</v>
      </c>
      <c r="H136" s="296" t="s">
        <v>937</v>
      </c>
      <c r="I136" s="260" t="s">
        <v>30</v>
      </c>
      <c r="J136" s="260"/>
      <c r="K136" s="260"/>
      <c r="L136" s="260" t="s">
        <v>531</v>
      </c>
      <c r="M136" s="239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</row>
    <row r="137" spans="1:25" ht="20.25" customHeight="1">
      <c r="A137" s="291">
        <f t="shared" si="24"/>
        <v>67319</v>
      </c>
      <c r="B137" s="239" t="s">
        <v>755</v>
      </c>
      <c r="C137" s="239" t="s">
        <v>873</v>
      </c>
      <c r="D137" s="239"/>
      <c r="E137" s="239">
        <v>2</v>
      </c>
      <c r="F137" s="293" t="str">
        <f t="shared" si="25"/>
        <v>6417000, 6427000</v>
      </c>
      <c r="G137" s="294" t="s">
        <v>937</v>
      </c>
      <c r="H137" s="296" t="s">
        <v>937</v>
      </c>
      <c r="I137" s="260" t="s">
        <v>30</v>
      </c>
      <c r="J137" s="260"/>
      <c r="K137" s="260"/>
      <c r="L137" s="260"/>
      <c r="M137" s="239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</row>
    <row r="138" spans="1:25" ht="20.25" customHeight="1">
      <c r="A138" s="291">
        <f t="shared" si="24"/>
        <v>67320</v>
      </c>
      <c r="B138" s="239" t="s">
        <v>756</v>
      </c>
      <c r="C138" s="239" t="s">
        <v>873</v>
      </c>
      <c r="D138" s="239"/>
      <c r="E138" s="239">
        <v>2</v>
      </c>
      <c r="F138" s="293" t="str">
        <f t="shared" si="25"/>
        <v>6417000, 6427000</v>
      </c>
      <c r="G138" s="294" t="s">
        <v>937</v>
      </c>
      <c r="H138" s="296" t="s">
        <v>937</v>
      </c>
      <c r="I138" s="260" t="s">
        <v>30</v>
      </c>
      <c r="J138" s="260"/>
      <c r="K138" s="260"/>
      <c r="L138" s="260"/>
      <c r="M138" s="239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</row>
    <row r="139" spans="1:25" ht="20.25" customHeight="1">
      <c r="A139" s="291">
        <f t="shared" si="24"/>
        <v>67321</v>
      </c>
      <c r="B139" s="239" t="s">
        <v>757</v>
      </c>
      <c r="C139" s="239" t="s">
        <v>873</v>
      </c>
      <c r="D139" s="239"/>
      <c r="E139" s="239">
        <v>2</v>
      </c>
      <c r="F139" s="293" t="str">
        <f t="shared" si="25"/>
        <v>6417000, 6427000</v>
      </c>
      <c r="G139" s="294" t="s">
        <v>937</v>
      </c>
      <c r="H139" s="296" t="s">
        <v>937</v>
      </c>
      <c r="I139" s="260" t="s">
        <v>30</v>
      </c>
      <c r="J139" s="260"/>
      <c r="K139" s="260"/>
      <c r="L139" s="260"/>
      <c r="M139" s="239" t="s">
        <v>739</v>
      </c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</row>
    <row r="140" spans="1:25" ht="20.25" customHeight="1">
      <c r="A140" s="291">
        <f t="shared" si="24"/>
        <v>67322</v>
      </c>
      <c r="B140" s="239" t="s">
        <v>758</v>
      </c>
      <c r="C140" s="239" t="s">
        <v>873</v>
      </c>
      <c r="D140" s="239"/>
      <c r="E140" s="239">
        <v>2</v>
      </c>
      <c r="F140" s="293" t="str">
        <f t="shared" si="25"/>
        <v>6417000, 6427000</v>
      </c>
      <c r="G140" s="294" t="s">
        <v>937</v>
      </c>
      <c r="H140" s="296" t="s">
        <v>937</v>
      </c>
      <c r="I140" s="260" t="s">
        <v>30</v>
      </c>
      <c r="J140" s="260"/>
      <c r="K140" s="260"/>
      <c r="L140" s="260"/>
      <c r="M140" s="239" t="s">
        <v>739</v>
      </c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</row>
    <row r="141" spans="1:25" ht="20.25" customHeight="1">
      <c r="A141" s="291">
        <f t="shared" si="24"/>
        <v>67323</v>
      </c>
      <c r="B141" s="239" t="s">
        <v>759</v>
      </c>
      <c r="C141" s="239" t="s">
        <v>873</v>
      </c>
      <c r="D141" s="239"/>
      <c r="E141" s="239">
        <v>2</v>
      </c>
      <c r="F141" s="293" t="str">
        <f>'Seg 2_Account'!B457</f>
        <v>6427000</v>
      </c>
      <c r="G141" s="294" t="e">
        <f>$G$133</f>
        <v>#REF!</v>
      </c>
      <c r="H141" s="294" t="e">
        <f>VLOOKUP($G141,#REF!,2,0)</f>
        <v>#REF!</v>
      </c>
      <c r="I141" s="260" t="s">
        <v>30</v>
      </c>
      <c r="J141" s="260"/>
      <c r="K141" s="260"/>
      <c r="L141" s="260"/>
      <c r="M141" s="239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</row>
    <row r="142" spans="1:25" ht="20.25" customHeight="1">
      <c r="A142" s="291">
        <v>67399</v>
      </c>
      <c r="B142" s="239" t="s">
        <v>760</v>
      </c>
      <c r="C142" s="239" t="s">
        <v>873</v>
      </c>
      <c r="D142" s="239"/>
      <c r="E142" s="239">
        <v>2</v>
      </c>
      <c r="F142" s="293" t="str">
        <f t="shared" si="25"/>
        <v>6417000, 6427000</v>
      </c>
      <c r="G142" s="294" t="s">
        <v>937</v>
      </c>
      <c r="H142" s="296" t="s">
        <v>937</v>
      </c>
      <c r="I142" s="260" t="s">
        <v>30</v>
      </c>
      <c r="J142" s="260"/>
      <c r="K142" s="260"/>
      <c r="L142" s="260"/>
      <c r="M142" s="239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</row>
    <row r="143" spans="1:25" ht="20.25" customHeight="1">
      <c r="A143" s="297">
        <v>68000</v>
      </c>
      <c r="B143" s="298" t="s">
        <v>928</v>
      </c>
      <c r="C143" s="298" t="s">
        <v>873</v>
      </c>
      <c r="D143" s="296" t="s">
        <v>30</v>
      </c>
      <c r="E143" s="239">
        <v>1</v>
      </c>
      <c r="F143" s="267" t="str">
        <f>'Seg 2_Account'!B441&amp;", "&amp;'Seg 2_Account'!B459</f>
        <v>6418000, 6428000</v>
      </c>
      <c r="G143" s="291"/>
      <c r="H143" s="239"/>
      <c r="I143" s="260"/>
      <c r="J143" s="260"/>
      <c r="K143" s="260"/>
      <c r="L143" s="260"/>
      <c r="M143" s="239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</row>
    <row r="144" spans="1:25" ht="20.25" customHeight="1">
      <c r="A144" s="291">
        <v>68001</v>
      </c>
      <c r="B144" s="239" t="s">
        <v>761</v>
      </c>
      <c r="C144" s="239" t="s">
        <v>873</v>
      </c>
      <c r="D144" s="239"/>
      <c r="E144" s="239">
        <v>2</v>
      </c>
      <c r="F144" s="293" t="str">
        <f>$F$143</f>
        <v>6418000, 6428000</v>
      </c>
      <c r="G144" s="294" t="s">
        <v>937</v>
      </c>
      <c r="H144" s="296" t="s">
        <v>937</v>
      </c>
      <c r="I144" s="260" t="s">
        <v>30</v>
      </c>
      <c r="J144" s="260"/>
      <c r="K144" s="260"/>
      <c r="L144" s="260" t="s">
        <v>531</v>
      </c>
      <c r="M144" s="239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</row>
    <row r="145" spans="1:25" ht="20.25" customHeight="1">
      <c r="A145" s="291">
        <f t="shared" ref="A145:A150" si="26">A144+1</f>
        <v>68002</v>
      </c>
      <c r="B145" s="239" t="s">
        <v>762</v>
      </c>
      <c r="C145" s="239" t="s">
        <v>873</v>
      </c>
      <c r="D145" s="239"/>
      <c r="E145" s="239">
        <v>2</v>
      </c>
      <c r="F145" s="293" t="str">
        <f t="shared" ref="F145:F151" si="27">$F$143</f>
        <v>6418000, 6428000</v>
      </c>
      <c r="G145" s="294" t="s">
        <v>937</v>
      </c>
      <c r="H145" s="296" t="s">
        <v>937</v>
      </c>
      <c r="I145" s="260" t="s">
        <v>30</v>
      </c>
      <c r="J145" s="260"/>
      <c r="K145" s="260"/>
      <c r="L145" s="260"/>
      <c r="M145" s="239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</row>
    <row r="146" spans="1:25" ht="20.25" customHeight="1">
      <c r="A146" s="291">
        <f t="shared" si="26"/>
        <v>68003</v>
      </c>
      <c r="B146" s="239" t="s">
        <v>289</v>
      </c>
      <c r="C146" s="239" t="s">
        <v>873</v>
      </c>
      <c r="D146" s="239"/>
      <c r="E146" s="239">
        <v>2</v>
      </c>
      <c r="F146" s="293" t="str">
        <f t="shared" si="27"/>
        <v>6418000, 6428000</v>
      </c>
      <c r="G146" s="294" t="s">
        <v>937</v>
      </c>
      <c r="H146" s="296" t="s">
        <v>937</v>
      </c>
      <c r="I146" s="260" t="s">
        <v>30</v>
      </c>
      <c r="J146" s="260"/>
      <c r="K146" s="260"/>
      <c r="L146" s="260"/>
      <c r="M146" s="239" t="s">
        <v>763</v>
      </c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</row>
    <row r="147" spans="1:25" s="339" customFormat="1" ht="20.25" customHeight="1">
      <c r="A147" s="333">
        <f t="shared" si="26"/>
        <v>68004</v>
      </c>
      <c r="B147" s="334" t="s">
        <v>290</v>
      </c>
      <c r="C147" s="334" t="s">
        <v>873</v>
      </c>
      <c r="D147" s="334"/>
      <c r="E147" s="334">
        <v>2</v>
      </c>
      <c r="F147" s="340" t="str">
        <f t="shared" si="27"/>
        <v>6418000, 6428000</v>
      </c>
      <c r="G147" s="333" t="s">
        <v>937</v>
      </c>
      <c r="H147" s="333" t="s">
        <v>974</v>
      </c>
      <c r="I147" s="336" t="s">
        <v>30</v>
      </c>
      <c r="J147" s="336" t="s">
        <v>531</v>
      </c>
      <c r="K147" s="336"/>
      <c r="L147" s="336" t="s">
        <v>531</v>
      </c>
      <c r="M147" s="334"/>
      <c r="N147" s="344" t="s">
        <v>972</v>
      </c>
      <c r="O147" s="335"/>
      <c r="P147" s="335"/>
      <c r="Q147" s="335"/>
      <c r="R147" s="335"/>
      <c r="S147" s="335"/>
      <c r="T147" s="335"/>
      <c r="U147" s="335"/>
      <c r="V147" s="335"/>
      <c r="W147" s="335"/>
      <c r="X147" s="335"/>
      <c r="Y147" s="335"/>
    </row>
    <row r="148" spans="1:25" s="339" customFormat="1" ht="20.25" customHeight="1">
      <c r="A148" s="333">
        <f t="shared" si="26"/>
        <v>68005</v>
      </c>
      <c r="B148" s="334" t="s">
        <v>291</v>
      </c>
      <c r="C148" s="334" t="s">
        <v>873</v>
      </c>
      <c r="D148" s="334"/>
      <c r="E148" s="334">
        <v>2</v>
      </c>
      <c r="F148" s="340" t="str">
        <f t="shared" si="27"/>
        <v>6418000, 6428000</v>
      </c>
      <c r="G148" s="333" t="s">
        <v>937</v>
      </c>
      <c r="H148" s="333" t="s">
        <v>974</v>
      </c>
      <c r="I148" s="336" t="s">
        <v>30</v>
      </c>
      <c r="J148" s="336" t="s">
        <v>531</v>
      </c>
      <c r="K148" s="336"/>
      <c r="L148" s="336" t="s">
        <v>531</v>
      </c>
      <c r="M148" s="334"/>
      <c r="N148" s="344" t="s">
        <v>972</v>
      </c>
      <c r="O148" s="335"/>
      <c r="P148" s="335"/>
      <c r="Q148" s="335"/>
      <c r="R148" s="335"/>
      <c r="S148" s="335"/>
      <c r="T148" s="335"/>
      <c r="U148" s="335"/>
      <c r="V148" s="335"/>
      <c r="W148" s="335"/>
      <c r="X148" s="335"/>
      <c r="Y148" s="335"/>
    </row>
    <row r="149" spans="1:25" ht="20.25" customHeight="1">
      <c r="A149" s="291">
        <f t="shared" si="26"/>
        <v>68006</v>
      </c>
      <c r="B149" s="239" t="s">
        <v>440</v>
      </c>
      <c r="C149" s="239" t="s">
        <v>873</v>
      </c>
      <c r="D149" s="239"/>
      <c r="E149" s="239">
        <v>2</v>
      </c>
      <c r="F149" s="293" t="str">
        <f t="shared" si="27"/>
        <v>6418000, 6428000</v>
      </c>
      <c r="G149" s="294" t="str">
        <f>$G$148</f>
        <v>All</v>
      </c>
      <c r="H149" s="296" t="e">
        <f>VLOOKUP($G149,#REF!,2,0)</f>
        <v>#REF!</v>
      </c>
      <c r="I149" s="260" t="s">
        <v>30</v>
      </c>
      <c r="J149" s="260"/>
      <c r="K149" s="260"/>
      <c r="L149" s="260"/>
      <c r="M149" s="239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</row>
    <row r="150" spans="1:25" ht="20.25" customHeight="1">
      <c r="A150" s="291">
        <f t="shared" si="26"/>
        <v>68007</v>
      </c>
      <c r="B150" s="239" t="s">
        <v>764</v>
      </c>
      <c r="C150" s="239" t="s">
        <v>873</v>
      </c>
      <c r="D150" s="239"/>
      <c r="E150" s="239">
        <v>2</v>
      </c>
      <c r="F150" s="293" t="str">
        <f>'Seg 2_Account'!B454</f>
        <v>6426000</v>
      </c>
      <c r="G150" s="294" t="str">
        <f>$G$148</f>
        <v>All</v>
      </c>
      <c r="H150" s="296" t="e">
        <f>VLOOKUP($G150,#REF!,2,0)</f>
        <v>#REF!</v>
      </c>
      <c r="I150" s="260" t="s">
        <v>30</v>
      </c>
      <c r="J150" s="260"/>
      <c r="K150" s="260"/>
      <c r="L150" s="260"/>
      <c r="M150" s="239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</row>
    <row r="151" spans="1:25" ht="20.25" customHeight="1">
      <c r="A151" s="291">
        <v>68099</v>
      </c>
      <c r="B151" s="239" t="s">
        <v>220</v>
      </c>
      <c r="C151" s="239" t="s">
        <v>873</v>
      </c>
      <c r="D151" s="239"/>
      <c r="E151" s="239">
        <v>2</v>
      </c>
      <c r="F151" s="293" t="str">
        <f t="shared" si="27"/>
        <v>6418000, 6428000</v>
      </c>
      <c r="G151" s="294"/>
      <c r="H151" s="296"/>
      <c r="I151" s="260" t="s">
        <v>30</v>
      </c>
      <c r="J151" s="260"/>
      <c r="K151" s="260"/>
      <c r="L151" s="260"/>
      <c r="M151" s="239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</row>
    <row r="152" spans="1:25" ht="20.25" customHeight="1">
      <c r="A152" s="297">
        <v>71000</v>
      </c>
      <c r="B152" s="298" t="s">
        <v>239</v>
      </c>
      <c r="C152" s="298" t="s">
        <v>873</v>
      </c>
      <c r="D152" s="239" t="s">
        <v>30</v>
      </c>
      <c r="E152" s="239">
        <v>1</v>
      </c>
      <c r="F152" s="267"/>
      <c r="G152" s="291"/>
      <c r="H152" s="239"/>
      <c r="I152" s="260"/>
      <c r="J152" s="260"/>
      <c r="K152" s="260"/>
      <c r="L152" s="260"/>
      <c r="M152" s="239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</row>
    <row r="153" spans="1:25" ht="20.25" customHeight="1">
      <c r="A153" s="291">
        <v>71001</v>
      </c>
      <c r="B153" s="239" t="s">
        <v>787</v>
      </c>
      <c r="C153" s="239" t="s">
        <v>873</v>
      </c>
      <c r="D153" s="239"/>
      <c r="E153" s="239">
        <v>2</v>
      </c>
      <c r="F153" s="293" t="str">
        <f>'Seg 2_Account'!B462</f>
        <v>7111000</v>
      </c>
      <c r="G153" s="294"/>
      <c r="H153" s="296"/>
      <c r="I153" s="260" t="s">
        <v>30</v>
      </c>
      <c r="J153" s="260"/>
      <c r="K153" s="260"/>
      <c r="L153" s="260"/>
      <c r="M153" s="239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</row>
    <row r="154" spans="1:25" ht="20.25" customHeight="1">
      <c r="A154" s="291">
        <f>A153+1</f>
        <v>71002</v>
      </c>
      <c r="B154" s="239" t="s">
        <v>788</v>
      </c>
      <c r="C154" s="239" t="s">
        <v>873</v>
      </c>
      <c r="D154" s="239"/>
      <c r="E154" s="239">
        <v>2</v>
      </c>
      <c r="F154" s="267" t="str">
        <f>'Seg 2_Account'!B466</f>
        <v>7118000</v>
      </c>
      <c r="G154" s="291"/>
      <c r="H154" s="239"/>
      <c r="I154" s="260"/>
      <c r="J154" s="260"/>
      <c r="K154" s="260"/>
      <c r="L154" s="260"/>
      <c r="M154" s="239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</row>
    <row r="155" spans="1:25" ht="20.25" customHeight="1">
      <c r="A155" s="291">
        <f t="shared" ref="A155" si="28">A154+1</f>
        <v>71003</v>
      </c>
      <c r="B155" s="239" t="s">
        <v>942</v>
      </c>
      <c r="C155" s="239" t="s">
        <v>873</v>
      </c>
      <c r="D155" s="239"/>
      <c r="E155" s="239">
        <v>2</v>
      </c>
      <c r="F155" s="267" t="str">
        <f>'Seg 2_Account'!B464</f>
        <v>7112000</v>
      </c>
      <c r="G155" s="291"/>
      <c r="H155" s="239"/>
      <c r="I155" s="260" t="s">
        <v>30</v>
      </c>
      <c r="J155" s="260"/>
      <c r="K155" s="260"/>
      <c r="L155" s="260"/>
      <c r="M155" s="318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</row>
    <row r="156" spans="1:25" ht="20.25" customHeight="1">
      <c r="A156" s="291">
        <f>A155+1</f>
        <v>71004</v>
      </c>
      <c r="B156" s="239" t="s">
        <v>943</v>
      </c>
      <c r="C156" s="239" t="s">
        <v>873</v>
      </c>
      <c r="D156" s="239"/>
      <c r="E156" s="239">
        <v>2</v>
      </c>
      <c r="F156" s="267" t="str">
        <f>$F$155</f>
        <v>7112000</v>
      </c>
      <c r="G156" s="291"/>
      <c r="H156" s="239"/>
      <c r="I156" s="260" t="s">
        <v>30</v>
      </c>
      <c r="J156" s="260"/>
      <c r="K156" s="260"/>
      <c r="L156" s="260"/>
      <c r="M156" s="318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</row>
    <row r="157" spans="1:25" ht="20.25" customHeight="1">
      <c r="A157" s="291">
        <f t="shared" ref="A157" si="29">A156+1</f>
        <v>71005</v>
      </c>
      <c r="B157" s="239" t="s">
        <v>944</v>
      </c>
      <c r="C157" s="239" t="s">
        <v>873</v>
      </c>
      <c r="D157" s="239"/>
      <c r="E157" s="239">
        <v>2</v>
      </c>
      <c r="F157" s="267" t="str">
        <f>$F$155</f>
        <v>7112000</v>
      </c>
      <c r="G157" s="291"/>
      <c r="H157" s="239"/>
      <c r="I157" s="260" t="s">
        <v>30</v>
      </c>
      <c r="J157" s="260"/>
      <c r="K157" s="260"/>
      <c r="L157" s="260"/>
      <c r="M157" s="318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</row>
    <row r="158" spans="1:25" ht="20.25" customHeight="1">
      <c r="A158" s="291">
        <v>71999</v>
      </c>
      <c r="B158" s="239" t="s">
        <v>239</v>
      </c>
      <c r="C158" s="239" t="s">
        <v>873</v>
      </c>
      <c r="D158" s="239"/>
      <c r="E158" s="239">
        <v>2</v>
      </c>
      <c r="F158" s="267" t="str">
        <f>'Seg 2_Account'!B466</f>
        <v>7118000</v>
      </c>
      <c r="G158" s="291"/>
      <c r="H158" s="239"/>
      <c r="I158" s="260" t="s">
        <v>30</v>
      </c>
      <c r="J158" s="260"/>
      <c r="K158" s="260"/>
      <c r="L158" s="260"/>
      <c r="M158" s="318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</row>
    <row r="159" spans="1:25" ht="20.25" customHeight="1">
      <c r="A159" s="297">
        <v>81000</v>
      </c>
      <c r="B159" s="298" t="s">
        <v>242</v>
      </c>
      <c r="C159" s="298" t="s">
        <v>873</v>
      </c>
      <c r="D159" s="239" t="s">
        <v>30</v>
      </c>
      <c r="E159" s="239">
        <v>1</v>
      </c>
      <c r="F159" s="267"/>
      <c r="G159" s="291"/>
      <c r="H159" s="239"/>
      <c r="I159" s="260"/>
      <c r="J159" s="260"/>
      <c r="K159" s="260"/>
      <c r="L159" s="260"/>
      <c r="M159" s="239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</row>
    <row r="160" spans="1:25" ht="20.25" customHeight="1">
      <c r="A160" s="291">
        <v>81001</v>
      </c>
      <c r="B160" s="239" t="s">
        <v>790</v>
      </c>
      <c r="C160" s="239" t="s">
        <v>873</v>
      </c>
      <c r="D160" s="239"/>
      <c r="E160" s="239">
        <v>2</v>
      </c>
      <c r="F160" s="293" t="str">
        <f>'Seg 2_Account'!B469</f>
        <v>8111000</v>
      </c>
      <c r="G160" s="294"/>
      <c r="H160" s="296"/>
      <c r="I160" s="260" t="s">
        <v>30</v>
      </c>
      <c r="J160" s="260"/>
      <c r="K160" s="260"/>
      <c r="L160" s="260"/>
      <c r="M160" s="239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</row>
    <row r="161" spans="1:25" ht="20.25" customHeight="1">
      <c r="A161" s="291">
        <f>A160+1</f>
        <v>81002</v>
      </c>
      <c r="B161" s="239" t="s">
        <v>789</v>
      </c>
      <c r="C161" s="239" t="s">
        <v>873</v>
      </c>
      <c r="D161" s="239"/>
      <c r="E161" s="239">
        <v>2</v>
      </c>
      <c r="F161" s="293" t="str">
        <f>'Seg 2_Account'!B470</f>
        <v>8111101</v>
      </c>
      <c r="G161" s="294"/>
      <c r="H161" s="296"/>
      <c r="I161" s="260" t="s">
        <v>30</v>
      </c>
      <c r="J161" s="260"/>
      <c r="K161" s="260"/>
      <c r="L161" s="260"/>
      <c r="M161" s="239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</row>
    <row r="162" spans="1:25" ht="20.25" customHeight="1">
      <c r="A162" s="291">
        <f t="shared" ref="A162:A163" si="30">A161+1</f>
        <v>81003</v>
      </c>
      <c r="B162" s="239" t="s">
        <v>791</v>
      </c>
      <c r="C162" s="239" t="s">
        <v>873</v>
      </c>
      <c r="D162" s="239"/>
      <c r="E162" s="239">
        <v>2</v>
      </c>
      <c r="F162" s="293" t="str">
        <f>'Seg 2_Account'!B473</f>
        <v>8118101</v>
      </c>
      <c r="G162" s="294"/>
      <c r="H162" s="296"/>
      <c r="I162" s="260" t="s">
        <v>30</v>
      </c>
      <c r="J162" s="260"/>
      <c r="K162" s="260"/>
      <c r="L162" s="260"/>
      <c r="M162" s="239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</row>
    <row r="163" spans="1:25" ht="20.25" customHeight="1">
      <c r="A163" s="291">
        <f t="shared" si="30"/>
        <v>81004</v>
      </c>
      <c r="B163" s="239" t="s">
        <v>792</v>
      </c>
      <c r="C163" s="239" t="s">
        <v>873</v>
      </c>
      <c r="D163" s="239"/>
      <c r="E163" s="239">
        <v>2</v>
      </c>
      <c r="F163" s="293" t="str">
        <f>'Seg 2_Account'!B472&amp;", "&amp;'Seg 2_Account'!B473</f>
        <v>8118000, 8118101</v>
      </c>
      <c r="G163" s="294"/>
      <c r="H163" s="296"/>
      <c r="I163" s="260" t="s">
        <v>30</v>
      </c>
      <c r="J163" s="260"/>
      <c r="K163" s="260"/>
      <c r="L163" s="260"/>
      <c r="M163" s="239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</row>
    <row r="164" spans="1:25" ht="20.25" customHeight="1">
      <c r="A164" s="291">
        <v>81999</v>
      </c>
      <c r="B164" s="239" t="s">
        <v>245</v>
      </c>
      <c r="C164" s="239" t="s">
        <v>873</v>
      </c>
      <c r="D164" s="239"/>
      <c r="E164" s="239">
        <v>2</v>
      </c>
      <c r="F164" s="293" t="str">
        <f>$F$163</f>
        <v>8118000, 8118101</v>
      </c>
      <c r="G164" s="294"/>
      <c r="H164" s="296"/>
      <c r="I164" s="260" t="s">
        <v>30</v>
      </c>
      <c r="J164" s="260"/>
      <c r="K164" s="260"/>
      <c r="L164" s="260"/>
      <c r="M164" s="239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</row>
    <row r="165" spans="1:25" ht="20.25" customHeight="1">
      <c r="A165" s="267"/>
      <c r="B165" s="267"/>
      <c r="C165" s="267"/>
      <c r="D165" s="267"/>
      <c r="E165" s="267"/>
      <c r="F165" s="267"/>
      <c r="G165" s="267"/>
      <c r="H165" s="267"/>
      <c r="I165" s="258"/>
      <c r="J165" s="258"/>
      <c r="K165" s="258"/>
      <c r="L165" s="258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</row>
    <row r="166" spans="1:25" ht="20.25" customHeight="1">
      <c r="A166" s="267"/>
      <c r="B166" s="267"/>
      <c r="C166" s="267"/>
      <c r="D166" s="267"/>
      <c r="E166" s="267"/>
      <c r="F166" s="267"/>
      <c r="G166" s="267"/>
      <c r="H166" s="267"/>
      <c r="I166" s="258"/>
      <c r="J166" s="258"/>
      <c r="K166" s="258"/>
      <c r="L166" s="258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</row>
    <row r="167" spans="1:25" ht="20.25" customHeight="1">
      <c r="A167" s="267"/>
      <c r="B167" s="267"/>
      <c r="C167" s="267"/>
      <c r="D167" s="267"/>
      <c r="E167" s="267"/>
      <c r="F167" s="267"/>
      <c r="G167" s="267"/>
      <c r="H167" s="267"/>
      <c r="I167" s="258"/>
      <c r="J167" s="258"/>
      <c r="K167" s="258"/>
      <c r="L167" s="258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</row>
    <row r="168" spans="1:25" ht="20.25" customHeight="1">
      <c r="A168" s="267"/>
      <c r="B168" s="267"/>
      <c r="C168" s="267"/>
      <c r="D168" s="267"/>
      <c r="E168" s="267"/>
      <c r="F168" s="267"/>
      <c r="G168" s="267"/>
      <c r="H168" s="267"/>
      <c r="I168" s="258"/>
      <c r="J168" s="258"/>
      <c r="K168" s="258"/>
      <c r="L168" s="258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</row>
    <row r="169" spans="1:25" ht="20.25" customHeight="1">
      <c r="A169" s="267"/>
      <c r="B169" s="267"/>
      <c r="C169" s="267"/>
      <c r="D169" s="267"/>
      <c r="E169" s="267"/>
      <c r="F169" s="267"/>
      <c r="G169" s="267"/>
      <c r="H169" s="267"/>
      <c r="I169" s="258"/>
      <c r="J169" s="258"/>
      <c r="K169" s="258"/>
      <c r="L169" s="258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</row>
    <row r="170" spans="1:25" ht="20.25" customHeight="1">
      <c r="A170" s="267"/>
      <c r="B170" s="267"/>
      <c r="C170" s="267"/>
      <c r="D170" s="267"/>
      <c r="E170" s="267"/>
      <c r="F170" s="267"/>
      <c r="G170" s="267"/>
      <c r="H170" s="267"/>
      <c r="I170" s="258"/>
      <c r="J170" s="258"/>
      <c r="K170" s="258"/>
      <c r="L170" s="258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</row>
    <row r="171" spans="1:25" ht="20.25" customHeight="1">
      <c r="A171" s="267"/>
      <c r="B171" s="267"/>
      <c r="C171" s="267"/>
      <c r="D171" s="267"/>
      <c r="E171" s="267"/>
      <c r="F171" s="267"/>
      <c r="G171" s="267"/>
      <c r="H171" s="267"/>
      <c r="I171" s="258"/>
      <c r="J171" s="258"/>
      <c r="K171" s="258"/>
      <c r="L171" s="258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</row>
    <row r="172" spans="1:25" ht="20.25" customHeight="1">
      <c r="A172" s="267"/>
      <c r="B172" s="267"/>
      <c r="C172" s="267"/>
      <c r="D172" s="267"/>
      <c r="E172" s="267"/>
      <c r="F172" s="267"/>
      <c r="G172" s="267"/>
      <c r="H172" s="267"/>
      <c r="I172" s="258"/>
      <c r="J172" s="258"/>
      <c r="K172" s="258"/>
      <c r="L172" s="258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</row>
    <row r="173" spans="1:25" ht="20.25" customHeight="1">
      <c r="A173" s="267"/>
      <c r="B173" s="267"/>
      <c r="C173" s="267"/>
      <c r="D173" s="267"/>
      <c r="E173" s="267"/>
      <c r="F173" s="267"/>
      <c r="G173" s="267"/>
      <c r="H173" s="267"/>
      <c r="I173" s="258"/>
      <c r="J173" s="258"/>
      <c r="K173" s="258"/>
      <c r="L173" s="258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</row>
    <row r="174" spans="1:25" ht="20.25" customHeight="1">
      <c r="A174" s="267"/>
      <c r="B174" s="267"/>
      <c r="C174" s="267"/>
      <c r="D174" s="267"/>
      <c r="E174" s="267"/>
      <c r="F174" s="267"/>
      <c r="G174" s="267"/>
      <c r="H174" s="267"/>
      <c r="I174" s="258"/>
      <c r="J174" s="258"/>
      <c r="K174" s="258"/>
      <c r="L174" s="258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</row>
    <row r="175" spans="1:25" ht="20.25" customHeight="1">
      <c r="A175" s="267"/>
      <c r="B175" s="267"/>
      <c r="C175" s="267"/>
      <c r="D175" s="267"/>
      <c r="E175" s="267"/>
      <c r="F175" s="267"/>
      <c r="G175" s="267"/>
      <c r="H175" s="267"/>
      <c r="I175" s="258"/>
      <c r="J175" s="258"/>
      <c r="K175" s="258"/>
      <c r="L175" s="258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</row>
    <row r="176" spans="1:25" ht="20.25" customHeight="1">
      <c r="A176" s="267"/>
      <c r="B176" s="267"/>
      <c r="C176" s="267"/>
      <c r="D176" s="267"/>
      <c r="E176" s="267"/>
      <c r="F176" s="267"/>
      <c r="G176" s="267"/>
      <c r="H176" s="267"/>
      <c r="I176" s="258"/>
      <c r="J176" s="258"/>
      <c r="K176" s="258"/>
      <c r="L176" s="258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</row>
    <row r="177" spans="1:25" ht="20.25" customHeight="1">
      <c r="A177" s="267"/>
      <c r="B177" s="267"/>
      <c r="C177" s="267"/>
      <c r="D177" s="267"/>
      <c r="E177" s="267"/>
      <c r="F177" s="267"/>
      <c r="G177" s="267"/>
      <c r="H177" s="267"/>
      <c r="I177" s="258"/>
      <c r="J177" s="258"/>
      <c r="K177" s="258"/>
      <c r="L177" s="258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</row>
    <row r="178" spans="1:25" ht="20.25" customHeight="1">
      <c r="A178" s="267"/>
      <c r="B178" s="267"/>
      <c r="C178" s="267"/>
      <c r="D178" s="267"/>
      <c r="E178" s="267"/>
      <c r="F178" s="267"/>
      <c r="G178" s="267"/>
      <c r="H178" s="267"/>
      <c r="I178" s="258"/>
      <c r="J178" s="258"/>
      <c r="K178" s="258"/>
      <c r="L178" s="258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</row>
    <row r="179" spans="1:25" ht="20.25" customHeight="1">
      <c r="A179" s="267"/>
      <c r="B179" s="267"/>
      <c r="C179" s="267"/>
      <c r="D179" s="267"/>
      <c r="E179" s="267"/>
      <c r="F179" s="267"/>
      <c r="G179" s="267"/>
      <c r="H179" s="267"/>
      <c r="I179" s="258"/>
      <c r="J179" s="258"/>
      <c r="K179" s="258"/>
      <c r="L179" s="258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</row>
    <row r="180" spans="1:25" ht="20.25" customHeight="1">
      <c r="A180" s="267"/>
      <c r="B180" s="267"/>
      <c r="C180" s="267"/>
      <c r="D180" s="267"/>
      <c r="E180" s="267"/>
      <c r="F180" s="267"/>
      <c r="G180" s="267"/>
      <c r="H180" s="267"/>
      <c r="I180" s="258"/>
      <c r="J180" s="258"/>
      <c r="K180" s="258"/>
      <c r="L180" s="258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</row>
    <row r="181" spans="1:25" ht="20.25" customHeight="1">
      <c r="A181" s="267"/>
      <c r="B181" s="267"/>
      <c r="C181" s="267"/>
      <c r="D181" s="267"/>
      <c r="E181" s="267"/>
      <c r="F181" s="267"/>
      <c r="G181" s="267"/>
      <c r="H181" s="267"/>
      <c r="I181" s="258"/>
      <c r="J181" s="258"/>
      <c r="K181" s="258"/>
      <c r="L181" s="258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</row>
    <row r="182" spans="1:25" ht="20.25" customHeight="1">
      <c r="A182" s="267"/>
      <c r="B182" s="267"/>
      <c r="C182" s="267"/>
      <c r="D182" s="267"/>
      <c r="E182" s="267"/>
      <c r="F182" s="267"/>
      <c r="G182" s="267"/>
      <c r="H182" s="267"/>
      <c r="I182" s="258"/>
      <c r="J182" s="258"/>
      <c r="K182" s="258"/>
      <c r="L182" s="258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</row>
    <row r="183" spans="1:25" ht="20.25" customHeight="1">
      <c r="A183" s="267"/>
      <c r="B183" s="267"/>
      <c r="C183" s="267"/>
      <c r="D183" s="267"/>
      <c r="E183" s="267"/>
      <c r="F183" s="267"/>
      <c r="G183" s="267"/>
      <c r="H183" s="267"/>
      <c r="I183" s="258"/>
      <c r="J183" s="258"/>
      <c r="K183" s="258"/>
      <c r="L183" s="258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</row>
    <row r="184" spans="1:25" ht="20.25" customHeight="1">
      <c r="A184" s="267"/>
      <c r="B184" s="267"/>
      <c r="C184" s="267"/>
      <c r="D184" s="267"/>
      <c r="E184" s="267"/>
      <c r="F184" s="267"/>
      <c r="G184" s="267"/>
      <c r="H184" s="267"/>
      <c r="I184" s="258"/>
      <c r="J184" s="258"/>
      <c r="K184" s="258"/>
      <c r="L184" s="258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</row>
    <row r="185" spans="1:25" ht="20.25" customHeight="1">
      <c r="A185" s="267"/>
      <c r="B185" s="267"/>
      <c r="C185" s="267"/>
      <c r="D185" s="267"/>
      <c r="E185" s="267"/>
      <c r="F185" s="267"/>
      <c r="G185" s="267"/>
      <c r="H185" s="267"/>
      <c r="I185" s="258"/>
      <c r="J185" s="258"/>
      <c r="K185" s="258"/>
      <c r="L185" s="258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</row>
    <row r="186" spans="1:25" ht="20.25" customHeight="1">
      <c r="A186" s="267"/>
      <c r="B186" s="267"/>
      <c r="C186" s="267"/>
      <c r="D186" s="267"/>
      <c r="E186" s="267"/>
      <c r="F186" s="267"/>
      <c r="G186" s="267"/>
      <c r="H186" s="267"/>
      <c r="I186" s="258"/>
      <c r="J186" s="258"/>
      <c r="K186" s="258"/>
      <c r="L186" s="258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</row>
    <row r="187" spans="1:25" ht="20.25" customHeight="1">
      <c r="A187" s="267"/>
      <c r="B187" s="267"/>
      <c r="C187" s="267"/>
      <c r="D187" s="267"/>
      <c r="E187" s="267"/>
      <c r="F187" s="267"/>
      <c r="G187" s="267"/>
      <c r="H187" s="267"/>
      <c r="I187" s="258"/>
      <c r="J187" s="258"/>
      <c r="K187" s="258"/>
      <c r="L187" s="258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</row>
    <row r="188" spans="1:25" ht="20.25" customHeight="1">
      <c r="A188" s="267"/>
      <c r="B188" s="267"/>
      <c r="C188" s="267"/>
      <c r="D188" s="267"/>
      <c r="E188" s="267"/>
      <c r="F188" s="267"/>
      <c r="G188" s="267"/>
      <c r="H188" s="267"/>
      <c r="I188" s="258"/>
      <c r="J188" s="258"/>
      <c r="K188" s="258"/>
      <c r="L188" s="258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</row>
    <row r="189" spans="1:25" ht="20.25" customHeight="1">
      <c r="A189" s="267"/>
      <c r="B189" s="267"/>
      <c r="C189" s="267"/>
      <c r="D189" s="267"/>
      <c r="E189" s="267"/>
      <c r="F189" s="267"/>
      <c r="G189" s="267"/>
      <c r="H189" s="267"/>
      <c r="I189" s="258"/>
      <c r="J189" s="258"/>
      <c r="K189" s="258"/>
      <c r="L189" s="258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</row>
    <row r="190" spans="1:25" ht="20.25" customHeight="1">
      <c r="A190" s="267"/>
      <c r="B190" s="267"/>
      <c r="C190" s="267"/>
      <c r="D190" s="267"/>
      <c r="E190" s="267"/>
      <c r="F190" s="267"/>
      <c r="G190" s="267"/>
      <c r="H190" s="267"/>
      <c r="I190" s="258"/>
      <c r="J190" s="258"/>
      <c r="K190" s="258"/>
      <c r="L190" s="258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</row>
    <row r="191" spans="1:25" ht="20.25" customHeight="1">
      <c r="A191" s="267"/>
      <c r="B191" s="267"/>
      <c r="C191" s="267"/>
      <c r="D191" s="267"/>
      <c r="E191" s="267"/>
      <c r="F191" s="267"/>
      <c r="G191" s="267"/>
      <c r="H191" s="267"/>
      <c r="I191" s="258"/>
      <c r="J191" s="258"/>
      <c r="K191" s="258"/>
      <c r="L191" s="258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</row>
    <row r="192" spans="1:25" ht="20.25" customHeight="1">
      <c r="A192" s="267"/>
      <c r="B192" s="267"/>
      <c r="C192" s="267"/>
      <c r="D192" s="267"/>
      <c r="E192" s="267"/>
      <c r="F192" s="267"/>
      <c r="G192" s="267"/>
      <c r="H192" s="267"/>
      <c r="I192" s="258"/>
      <c r="J192" s="258"/>
      <c r="K192" s="258"/>
      <c r="L192" s="258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</row>
    <row r="193" spans="1:25" ht="20.25" customHeight="1">
      <c r="A193" s="267"/>
      <c r="B193" s="267"/>
      <c r="C193" s="267"/>
      <c r="D193" s="267"/>
      <c r="E193" s="267"/>
      <c r="F193" s="267"/>
      <c r="G193" s="267"/>
      <c r="H193" s="267"/>
      <c r="I193" s="258"/>
      <c r="J193" s="258"/>
      <c r="K193" s="258"/>
      <c r="L193" s="258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</row>
    <row r="194" spans="1:25" ht="20.25" customHeight="1">
      <c r="A194" s="267"/>
      <c r="B194" s="267"/>
      <c r="C194" s="267"/>
      <c r="D194" s="267"/>
      <c r="E194" s="267"/>
      <c r="F194" s="267"/>
      <c r="G194" s="267"/>
      <c r="H194" s="267"/>
      <c r="I194" s="258"/>
      <c r="J194" s="258"/>
      <c r="K194" s="258"/>
      <c r="L194" s="258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</row>
    <row r="195" spans="1:25" ht="20.25" customHeight="1">
      <c r="A195" s="267"/>
      <c r="B195" s="267"/>
      <c r="C195" s="267"/>
      <c r="D195" s="267"/>
      <c r="E195" s="267"/>
      <c r="F195" s="267"/>
      <c r="G195" s="267"/>
      <c r="H195" s="267"/>
      <c r="I195" s="258"/>
      <c r="J195" s="258"/>
      <c r="K195" s="258"/>
      <c r="L195" s="258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</row>
    <row r="196" spans="1:25" ht="20.25" customHeight="1">
      <c r="A196" s="267"/>
      <c r="B196" s="267"/>
      <c r="C196" s="267"/>
      <c r="D196" s="267"/>
      <c r="E196" s="267"/>
      <c r="F196" s="267"/>
      <c r="G196" s="267"/>
      <c r="H196" s="267"/>
      <c r="I196" s="258"/>
      <c r="J196" s="258"/>
      <c r="K196" s="258"/>
      <c r="L196" s="258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</row>
    <row r="197" spans="1:25" ht="20.25" customHeight="1">
      <c r="A197" s="267"/>
      <c r="B197" s="267"/>
      <c r="C197" s="267"/>
      <c r="D197" s="267"/>
      <c r="E197" s="267"/>
      <c r="F197" s="267"/>
      <c r="G197" s="267"/>
      <c r="H197" s="267"/>
      <c r="I197" s="258"/>
      <c r="J197" s="258"/>
      <c r="K197" s="258"/>
      <c r="L197" s="258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</row>
    <row r="198" spans="1:25" ht="20.25" customHeight="1">
      <c r="A198" s="267"/>
      <c r="B198" s="267"/>
      <c r="C198" s="267"/>
      <c r="D198" s="267"/>
      <c r="E198" s="267"/>
      <c r="F198" s="267"/>
      <c r="G198" s="267"/>
      <c r="H198" s="267"/>
      <c r="I198" s="258"/>
      <c r="J198" s="258"/>
      <c r="K198" s="258"/>
      <c r="L198" s="258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</row>
    <row r="199" spans="1:25" ht="20.25" customHeight="1">
      <c r="A199" s="267"/>
      <c r="B199" s="267"/>
      <c r="C199" s="267"/>
      <c r="D199" s="267"/>
      <c r="E199" s="267"/>
      <c r="F199" s="267"/>
      <c r="G199" s="267"/>
      <c r="H199" s="267"/>
      <c r="I199" s="258"/>
      <c r="J199" s="258"/>
      <c r="K199" s="258"/>
      <c r="L199" s="258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</row>
    <row r="200" spans="1:25" ht="20.25" customHeight="1">
      <c r="A200" s="267"/>
      <c r="B200" s="267"/>
      <c r="C200" s="267"/>
      <c r="D200" s="267"/>
      <c r="E200" s="267"/>
      <c r="F200" s="267"/>
      <c r="G200" s="267"/>
      <c r="H200" s="267"/>
      <c r="I200" s="258"/>
      <c r="J200" s="258"/>
      <c r="K200" s="258"/>
      <c r="L200" s="258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</row>
    <row r="201" spans="1:25" ht="20.25" customHeight="1">
      <c r="A201" s="267"/>
      <c r="B201" s="267"/>
      <c r="C201" s="267"/>
      <c r="D201" s="267"/>
      <c r="E201" s="267"/>
      <c r="F201" s="267"/>
      <c r="G201" s="267"/>
      <c r="H201" s="267"/>
      <c r="I201" s="258"/>
      <c r="J201" s="258"/>
      <c r="K201" s="258"/>
      <c r="L201" s="258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</row>
    <row r="202" spans="1:25" ht="20.25" customHeight="1">
      <c r="A202" s="267"/>
      <c r="B202" s="267"/>
      <c r="C202" s="267"/>
      <c r="D202" s="267"/>
      <c r="E202" s="267"/>
      <c r="F202" s="267"/>
      <c r="G202" s="267"/>
      <c r="H202" s="267"/>
      <c r="I202" s="258"/>
      <c r="J202" s="258"/>
      <c r="K202" s="258"/>
      <c r="L202" s="258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</row>
    <row r="203" spans="1:25" ht="20.25" customHeight="1">
      <c r="A203" s="267"/>
      <c r="B203" s="267"/>
      <c r="C203" s="267"/>
      <c r="D203" s="267"/>
      <c r="E203" s="267"/>
      <c r="F203" s="267"/>
      <c r="G203" s="267"/>
      <c r="H203" s="267"/>
      <c r="I203" s="258"/>
      <c r="J203" s="258"/>
      <c r="K203" s="258"/>
      <c r="L203" s="258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</row>
    <row r="204" spans="1:25" ht="20.25" customHeight="1">
      <c r="A204" s="267"/>
      <c r="B204" s="267"/>
      <c r="C204" s="267"/>
      <c r="D204" s="267"/>
      <c r="E204" s="267"/>
      <c r="F204" s="267"/>
      <c r="G204" s="267"/>
      <c r="H204" s="267"/>
      <c r="I204" s="258"/>
      <c r="J204" s="258"/>
      <c r="K204" s="258"/>
      <c r="L204" s="258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</row>
    <row r="205" spans="1:25" ht="20.25" customHeight="1">
      <c r="A205" s="267"/>
      <c r="B205" s="267"/>
      <c r="C205" s="267"/>
      <c r="D205" s="267"/>
      <c r="E205" s="267"/>
      <c r="F205" s="267"/>
      <c r="G205" s="267"/>
      <c r="H205" s="267"/>
      <c r="I205" s="258"/>
      <c r="J205" s="258"/>
      <c r="K205" s="258"/>
      <c r="L205" s="258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</row>
    <row r="206" spans="1:25" ht="20.25" customHeight="1">
      <c r="A206" s="267"/>
      <c r="B206" s="267"/>
      <c r="C206" s="267"/>
      <c r="D206" s="267"/>
      <c r="E206" s="267"/>
      <c r="F206" s="267"/>
      <c r="G206" s="267"/>
      <c r="H206" s="267"/>
      <c r="I206" s="258"/>
      <c r="J206" s="258"/>
      <c r="K206" s="258"/>
      <c r="L206" s="258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</row>
    <row r="207" spans="1:25" ht="20.25" customHeight="1">
      <c r="A207" s="267"/>
      <c r="B207" s="267"/>
      <c r="C207" s="267"/>
      <c r="D207" s="267"/>
      <c r="E207" s="267"/>
      <c r="F207" s="267"/>
      <c r="G207" s="267"/>
      <c r="H207" s="267"/>
      <c r="I207" s="258"/>
      <c r="J207" s="258"/>
      <c r="K207" s="258"/>
      <c r="L207" s="258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</row>
    <row r="208" spans="1:25" ht="20.25" customHeight="1">
      <c r="A208" s="267"/>
      <c r="B208" s="267"/>
      <c r="C208" s="267"/>
      <c r="D208" s="267"/>
      <c r="E208" s="267"/>
      <c r="F208" s="267"/>
      <c r="G208" s="267"/>
      <c r="H208" s="267"/>
      <c r="I208" s="258"/>
      <c r="J208" s="258"/>
      <c r="K208" s="258"/>
      <c r="L208" s="258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</row>
    <row r="209" spans="1:25" ht="20.25" customHeight="1">
      <c r="A209" s="267"/>
      <c r="B209" s="267"/>
      <c r="C209" s="267"/>
      <c r="D209" s="267"/>
      <c r="E209" s="267"/>
      <c r="F209" s="267"/>
      <c r="G209" s="267"/>
      <c r="H209" s="267"/>
      <c r="I209" s="258"/>
      <c r="J209" s="258"/>
      <c r="K209" s="258"/>
      <c r="L209" s="258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</row>
    <row r="210" spans="1:25" ht="20.25" customHeight="1">
      <c r="A210" s="267"/>
      <c r="B210" s="267"/>
      <c r="C210" s="267"/>
      <c r="D210" s="267"/>
      <c r="E210" s="267"/>
      <c r="F210" s="267"/>
      <c r="G210" s="267"/>
      <c r="H210" s="267"/>
      <c r="I210" s="258"/>
      <c r="J210" s="258"/>
      <c r="K210" s="258"/>
      <c r="L210" s="258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</row>
    <row r="211" spans="1:25" ht="20.25" customHeight="1">
      <c r="A211" s="267"/>
      <c r="B211" s="267"/>
      <c r="C211" s="267"/>
      <c r="D211" s="267"/>
      <c r="E211" s="267"/>
      <c r="F211" s="267"/>
      <c r="G211" s="267"/>
      <c r="H211" s="267"/>
      <c r="I211" s="258"/>
      <c r="J211" s="258"/>
      <c r="K211" s="258"/>
      <c r="L211" s="258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</row>
    <row r="212" spans="1:25" ht="20.25" customHeight="1">
      <c r="A212" s="267"/>
      <c r="B212" s="267"/>
      <c r="C212" s="267"/>
      <c r="D212" s="267"/>
      <c r="E212" s="267"/>
      <c r="F212" s="267"/>
      <c r="G212" s="267"/>
      <c r="H212" s="267"/>
      <c r="I212" s="258"/>
      <c r="J212" s="258"/>
      <c r="K212" s="258"/>
      <c r="L212" s="258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</row>
    <row r="213" spans="1:25" ht="20.25" customHeight="1">
      <c r="A213" s="267"/>
      <c r="B213" s="267"/>
      <c r="C213" s="267"/>
      <c r="D213" s="267"/>
      <c r="E213" s="267"/>
      <c r="F213" s="267"/>
      <c r="G213" s="267"/>
      <c r="H213" s="267"/>
      <c r="I213" s="258"/>
      <c r="J213" s="258"/>
      <c r="K213" s="258"/>
      <c r="L213" s="258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</row>
    <row r="214" spans="1:25" ht="20.25" customHeight="1">
      <c r="A214" s="267"/>
      <c r="B214" s="267"/>
      <c r="C214" s="267"/>
      <c r="D214" s="267"/>
      <c r="E214" s="267"/>
      <c r="F214" s="267"/>
      <c r="G214" s="267"/>
      <c r="H214" s="267"/>
      <c r="I214" s="258"/>
      <c r="J214" s="258"/>
      <c r="K214" s="258"/>
      <c r="L214" s="258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</row>
    <row r="215" spans="1:25" ht="20.25" customHeight="1">
      <c r="A215" s="267"/>
      <c r="B215" s="267"/>
      <c r="C215" s="267"/>
      <c r="D215" s="267"/>
      <c r="E215" s="267"/>
      <c r="F215" s="267"/>
      <c r="G215" s="267"/>
      <c r="H215" s="267"/>
      <c r="I215" s="258"/>
      <c r="J215" s="258"/>
      <c r="K215" s="258"/>
      <c r="L215" s="258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</row>
    <row r="216" spans="1:25" ht="20.25" customHeight="1">
      <c r="A216" s="267"/>
      <c r="B216" s="267"/>
      <c r="C216" s="267"/>
      <c r="D216" s="267"/>
      <c r="E216" s="267"/>
      <c r="F216" s="267"/>
      <c r="G216" s="267"/>
      <c r="H216" s="267"/>
      <c r="I216" s="258"/>
      <c r="J216" s="258"/>
      <c r="K216" s="258"/>
      <c r="L216" s="258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</row>
    <row r="217" spans="1:25" ht="20.25" customHeight="1">
      <c r="A217" s="267"/>
      <c r="B217" s="267"/>
      <c r="C217" s="267"/>
      <c r="D217" s="267"/>
      <c r="E217" s="267"/>
      <c r="F217" s="267"/>
      <c r="G217" s="267"/>
      <c r="H217" s="267"/>
      <c r="I217" s="258"/>
      <c r="J217" s="258"/>
      <c r="K217" s="258"/>
      <c r="L217" s="258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</row>
    <row r="218" spans="1:25" ht="20.25" customHeight="1">
      <c r="A218" s="267"/>
      <c r="B218" s="267"/>
      <c r="C218" s="267"/>
      <c r="D218" s="267"/>
      <c r="E218" s="267"/>
      <c r="F218" s="267"/>
      <c r="G218" s="267"/>
      <c r="H218" s="267"/>
      <c r="I218" s="258"/>
      <c r="J218" s="258"/>
      <c r="K218" s="258"/>
      <c r="L218" s="258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</row>
    <row r="219" spans="1:25" ht="20.25" customHeight="1">
      <c r="A219" s="267"/>
      <c r="B219" s="267"/>
      <c r="C219" s="267"/>
      <c r="D219" s="267"/>
      <c r="E219" s="267"/>
      <c r="F219" s="267"/>
      <c r="G219" s="267"/>
      <c r="H219" s="267"/>
      <c r="I219" s="258"/>
      <c r="J219" s="258"/>
      <c r="K219" s="258"/>
      <c r="L219" s="258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</row>
    <row r="220" spans="1:25" ht="20.25" customHeight="1">
      <c r="A220" s="267"/>
      <c r="B220" s="267"/>
      <c r="C220" s="267"/>
      <c r="D220" s="267"/>
      <c r="E220" s="267"/>
      <c r="F220" s="267"/>
      <c r="G220" s="267"/>
      <c r="H220" s="267"/>
      <c r="I220" s="258"/>
      <c r="J220" s="258"/>
      <c r="K220" s="258"/>
      <c r="L220" s="258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</row>
    <row r="221" spans="1:25" ht="20.25" customHeight="1">
      <c r="A221" s="267"/>
      <c r="B221" s="267"/>
      <c r="C221" s="267"/>
      <c r="D221" s="267"/>
      <c r="E221" s="267"/>
      <c r="F221" s="267"/>
      <c r="G221" s="267"/>
      <c r="H221" s="267"/>
      <c r="I221" s="258"/>
      <c r="J221" s="258"/>
      <c r="K221" s="258"/>
      <c r="L221" s="258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</row>
    <row r="222" spans="1:25" ht="20.25" customHeight="1">
      <c r="A222" s="267"/>
      <c r="B222" s="267"/>
      <c r="C222" s="267"/>
      <c r="D222" s="267"/>
      <c r="E222" s="267"/>
      <c r="F222" s="267"/>
      <c r="G222" s="267"/>
      <c r="H222" s="267"/>
      <c r="I222" s="258"/>
      <c r="J222" s="258"/>
      <c r="K222" s="258"/>
      <c r="L222" s="258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</row>
    <row r="223" spans="1:25" ht="20.25" customHeight="1">
      <c r="A223" s="267"/>
      <c r="B223" s="267"/>
      <c r="C223" s="267"/>
      <c r="D223" s="267"/>
      <c r="E223" s="267"/>
      <c r="F223" s="267"/>
      <c r="G223" s="267"/>
      <c r="H223" s="267"/>
      <c r="I223" s="258"/>
      <c r="J223" s="258"/>
      <c r="K223" s="258"/>
      <c r="L223" s="258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</row>
    <row r="224" spans="1:25" ht="20.25" customHeight="1">
      <c r="A224" s="267"/>
      <c r="B224" s="267"/>
      <c r="C224" s="267"/>
      <c r="D224" s="267"/>
      <c r="E224" s="267"/>
      <c r="F224" s="267"/>
      <c r="G224" s="267"/>
      <c r="H224" s="267"/>
      <c r="I224" s="258"/>
      <c r="J224" s="258"/>
      <c r="K224" s="258"/>
      <c r="L224" s="258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</row>
    <row r="225" spans="1:25" ht="20.25" customHeight="1">
      <c r="A225" s="267"/>
      <c r="B225" s="267"/>
      <c r="C225" s="267"/>
      <c r="D225" s="267"/>
      <c r="E225" s="267"/>
      <c r="F225" s="267"/>
      <c r="G225" s="267"/>
      <c r="H225" s="267"/>
      <c r="I225" s="258"/>
      <c r="J225" s="258"/>
      <c r="K225" s="258"/>
      <c r="L225" s="258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</row>
    <row r="226" spans="1:25" ht="20.25" customHeight="1">
      <c r="A226" s="267"/>
      <c r="B226" s="267"/>
      <c r="C226" s="267"/>
      <c r="D226" s="267"/>
      <c r="E226" s="267"/>
      <c r="F226" s="267"/>
      <c r="G226" s="267"/>
      <c r="H226" s="267"/>
      <c r="I226" s="258"/>
      <c r="J226" s="258"/>
      <c r="K226" s="258"/>
      <c r="L226" s="258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</row>
    <row r="227" spans="1:25" ht="20.25" customHeight="1">
      <c r="A227" s="267"/>
      <c r="B227" s="267"/>
      <c r="C227" s="267"/>
      <c r="D227" s="267"/>
      <c r="E227" s="267"/>
      <c r="F227" s="267"/>
      <c r="G227" s="267"/>
      <c r="H227" s="267"/>
      <c r="I227" s="258"/>
      <c r="J227" s="258"/>
      <c r="K227" s="258"/>
      <c r="L227" s="258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</row>
    <row r="228" spans="1:25" ht="20.25" customHeight="1">
      <c r="A228" s="267"/>
      <c r="B228" s="267"/>
      <c r="C228" s="267"/>
      <c r="D228" s="267"/>
      <c r="E228" s="267"/>
      <c r="F228" s="267"/>
      <c r="G228" s="267"/>
      <c r="H228" s="267"/>
      <c r="I228" s="258"/>
      <c r="J228" s="258"/>
      <c r="K228" s="258"/>
      <c r="L228" s="258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</row>
    <row r="229" spans="1:25" ht="20.25" customHeight="1">
      <c r="A229" s="267"/>
      <c r="B229" s="267"/>
      <c r="C229" s="267"/>
      <c r="D229" s="267"/>
      <c r="E229" s="267"/>
      <c r="F229" s="267"/>
      <c r="G229" s="267"/>
      <c r="H229" s="267"/>
      <c r="I229" s="258"/>
      <c r="J229" s="258"/>
      <c r="K229" s="258"/>
      <c r="L229" s="258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</row>
    <row r="230" spans="1:25" ht="20.25" customHeight="1">
      <c r="A230" s="267"/>
      <c r="B230" s="267"/>
      <c r="C230" s="267"/>
      <c r="D230" s="267"/>
      <c r="E230" s="267"/>
      <c r="F230" s="267"/>
      <c r="G230" s="267"/>
      <c r="H230" s="267"/>
      <c r="I230" s="258"/>
      <c r="J230" s="258"/>
      <c r="K230" s="258"/>
      <c r="L230" s="258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</row>
    <row r="231" spans="1:25" ht="20.25" customHeight="1">
      <c r="A231" s="267"/>
      <c r="B231" s="267"/>
      <c r="C231" s="267"/>
      <c r="D231" s="267"/>
      <c r="E231" s="267"/>
      <c r="F231" s="267"/>
      <c r="G231" s="267"/>
      <c r="H231" s="267"/>
      <c r="I231" s="258"/>
      <c r="J231" s="258"/>
      <c r="K231" s="258"/>
      <c r="L231" s="258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</row>
    <row r="232" spans="1:25" ht="20.25" customHeight="1">
      <c r="A232" s="267"/>
      <c r="B232" s="267"/>
      <c r="C232" s="267"/>
      <c r="D232" s="267"/>
      <c r="E232" s="267"/>
      <c r="F232" s="267"/>
      <c r="G232" s="267"/>
      <c r="H232" s="267"/>
      <c r="I232" s="258"/>
      <c r="J232" s="258"/>
      <c r="K232" s="258"/>
      <c r="L232" s="258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</row>
    <row r="233" spans="1:25" ht="20.25" customHeight="1">
      <c r="A233" s="267"/>
      <c r="B233" s="267"/>
      <c r="C233" s="267"/>
      <c r="D233" s="267"/>
      <c r="E233" s="267"/>
      <c r="F233" s="267"/>
      <c r="G233" s="267"/>
      <c r="H233" s="267"/>
      <c r="I233" s="258"/>
      <c r="J233" s="258"/>
      <c r="K233" s="258"/>
      <c r="L233" s="258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</row>
    <row r="234" spans="1:25" ht="20.25" customHeight="1">
      <c r="A234" s="267"/>
      <c r="B234" s="267"/>
      <c r="C234" s="267"/>
      <c r="D234" s="267"/>
      <c r="E234" s="267"/>
      <c r="F234" s="267"/>
      <c r="G234" s="267"/>
      <c r="H234" s="267"/>
      <c r="I234" s="258"/>
      <c r="J234" s="258"/>
      <c r="K234" s="258"/>
      <c r="L234" s="258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</row>
    <row r="235" spans="1:25" ht="20.25" customHeight="1">
      <c r="A235" s="267"/>
      <c r="B235" s="267"/>
      <c r="C235" s="267"/>
      <c r="D235" s="267"/>
      <c r="E235" s="267"/>
      <c r="F235" s="267"/>
      <c r="G235" s="267"/>
      <c r="H235" s="267"/>
      <c r="I235" s="258"/>
      <c r="J235" s="258"/>
      <c r="K235" s="258"/>
      <c r="L235" s="258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</row>
    <row r="236" spans="1:25" ht="20.25" customHeight="1">
      <c r="A236" s="267"/>
      <c r="B236" s="267"/>
      <c r="C236" s="267"/>
      <c r="D236" s="267"/>
      <c r="E236" s="267"/>
      <c r="F236" s="267"/>
      <c r="G236" s="267"/>
      <c r="H236" s="267"/>
      <c r="I236" s="258"/>
      <c r="J236" s="258"/>
      <c r="K236" s="258"/>
      <c r="L236" s="258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</row>
    <row r="237" spans="1:25" ht="20.25" customHeight="1">
      <c r="A237" s="267"/>
      <c r="B237" s="267"/>
      <c r="C237" s="267"/>
      <c r="D237" s="267"/>
      <c r="E237" s="267"/>
      <c r="F237" s="267"/>
      <c r="G237" s="267"/>
      <c r="H237" s="267"/>
      <c r="I237" s="258"/>
      <c r="J237" s="258"/>
      <c r="K237" s="258"/>
      <c r="L237" s="258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</row>
    <row r="238" spans="1:25" ht="20.25" customHeight="1">
      <c r="A238" s="267"/>
      <c r="B238" s="267"/>
      <c r="C238" s="267"/>
      <c r="D238" s="267"/>
      <c r="E238" s="267"/>
      <c r="F238" s="267"/>
      <c r="G238" s="267"/>
      <c r="H238" s="267"/>
      <c r="I238" s="258"/>
      <c r="J238" s="258"/>
      <c r="K238" s="258"/>
      <c r="L238" s="258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</row>
    <row r="239" spans="1:25" ht="20.25" customHeight="1">
      <c r="A239" s="267"/>
      <c r="B239" s="267"/>
      <c r="C239" s="267"/>
      <c r="D239" s="267"/>
      <c r="E239" s="267"/>
      <c r="F239" s="267"/>
      <c r="G239" s="267"/>
      <c r="H239" s="267"/>
      <c r="I239" s="258"/>
      <c r="J239" s="258"/>
      <c r="K239" s="258"/>
      <c r="L239" s="258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</row>
    <row r="240" spans="1:25" ht="20.25" customHeight="1">
      <c r="A240" s="267"/>
      <c r="B240" s="267"/>
      <c r="C240" s="267"/>
      <c r="D240" s="267"/>
      <c r="E240" s="267"/>
      <c r="F240" s="267"/>
      <c r="G240" s="267"/>
      <c r="H240" s="267"/>
      <c r="I240" s="258"/>
      <c r="J240" s="258"/>
      <c r="K240" s="258"/>
      <c r="L240" s="258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</row>
    <row r="241" spans="1:25" ht="20.25" customHeight="1">
      <c r="A241" s="267"/>
      <c r="B241" s="267"/>
      <c r="C241" s="267"/>
      <c r="D241" s="267"/>
      <c r="E241" s="267"/>
      <c r="F241" s="267"/>
      <c r="G241" s="267"/>
      <c r="H241" s="267"/>
      <c r="I241" s="258"/>
      <c r="J241" s="258"/>
      <c r="K241" s="258"/>
      <c r="L241" s="258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</row>
    <row r="242" spans="1:25" ht="20.25" customHeight="1">
      <c r="A242" s="267"/>
      <c r="B242" s="267"/>
      <c r="C242" s="267"/>
      <c r="D242" s="267"/>
      <c r="E242" s="267"/>
      <c r="F242" s="267"/>
      <c r="G242" s="267"/>
      <c r="H242" s="267"/>
      <c r="I242" s="258"/>
      <c r="J242" s="258"/>
      <c r="K242" s="258"/>
      <c r="L242" s="258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</row>
    <row r="243" spans="1:25" ht="20.25" customHeight="1">
      <c r="A243" s="267"/>
      <c r="B243" s="267"/>
      <c r="C243" s="267"/>
      <c r="D243" s="267"/>
      <c r="E243" s="267"/>
      <c r="F243" s="267"/>
      <c r="G243" s="267"/>
      <c r="H243" s="267"/>
      <c r="I243" s="258"/>
      <c r="J243" s="258"/>
      <c r="K243" s="258"/>
      <c r="L243" s="258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</row>
    <row r="244" spans="1:25" ht="20.25" customHeight="1">
      <c r="A244" s="267"/>
      <c r="B244" s="267"/>
      <c r="C244" s="267"/>
      <c r="D244" s="267"/>
      <c r="E244" s="267"/>
      <c r="F244" s="267"/>
      <c r="G244" s="267"/>
      <c r="H244" s="267"/>
      <c r="I244" s="258"/>
      <c r="J244" s="258"/>
      <c r="K244" s="258"/>
      <c r="L244" s="258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</row>
    <row r="245" spans="1:25" ht="20.25" customHeight="1">
      <c r="A245" s="267"/>
      <c r="B245" s="267"/>
      <c r="C245" s="267"/>
      <c r="D245" s="267"/>
      <c r="E245" s="267"/>
      <c r="F245" s="267"/>
      <c r="G245" s="267"/>
      <c r="H245" s="267"/>
      <c r="I245" s="258"/>
      <c r="J245" s="258"/>
      <c r="K245" s="258"/>
      <c r="L245" s="258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</row>
    <row r="246" spans="1:25" ht="20.25" customHeight="1">
      <c r="A246" s="267"/>
      <c r="B246" s="267"/>
      <c r="C246" s="267"/>
      <c r="D246" s="267"/>
      <c r="E246" s="267"/>
      <c r="F246" s="267"/>
      <c r="G246" s="267"/>
      <c r="H246" s="267"/>
      <c r="I246" s="258"/>
      <c r="J246" s="258"/>
      <c r="K246" s="258"/>
      <c r="L246" s="258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</row>
    <row r="247" spans="1:25" ht="20.25" customHeight="1">
      <c r="A247" s="267"/>
      <c r="B247" s="267"/>
      <c r="C247" s="267"/>
      <c r="D247" s="267"/>
      <c r="E247" s="267"/>
      <c r="F247" s="267"/>
      <c r="G247" s="267"/>
      <c r="H247" s="267"/>
      <c r="I247" s="258"/>
      <c r="J247" s="258"/>
      <c r="K247" s="258"/>
      <c r="L247" s="258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</row>
    <row r="248" spans="1:25" ht="20.25" customHeight="1">
      <c r="A248" s="267"/>
      <c r="B248" s="267"/>
      <c r="C248" s="267"/>
      <c r="D248" s="267"/>
      <c r="E248" s="267"/>
      <c r="F248" s="267"/>
      <c r="G248" s="267"/>
      <c r="H248" s="267"/>
      <c r="I248" s="258"/>
      <c r="J248" s="258"/>
      <c r="K248" s="258"/>
      <c r="L248" s="258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</row>
    <row r="249" spans="1:25" ht="20.25" customHeight="1">
      <c r="A249" s="267"/>
      <c r="B249" s="267"/>
      <c r="C249" s="267"/>
      <c r="D249" s="267"/>
      <c r="E249" s="267"/>
      <c r="F249" s="267"/>
      <c r="G249" s="267"/>
      <c r="H249" s="267"/>
      <c r="I249" s="258"/>
      <c r="J249" s="258"/>
      <c r="K249" s="258"/>
      <c r="L249" s="258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</row>
    <row r="250" spans="1:25" ht="20.25" customHeight="1">
      <c r="A250" s="267"/>
      <c r="B250" s="267"/>
      <c r="C250" s="267"/>
      <c r="D250" s="267"/>
      <c r="E250" s="267"/>
      <c r="F250" s="267"/>
      <c r="G250" s="267"/>
      <c r="H250" s="267"/>
      <c r="I250" s="258"/>
      <c r="J250" s="258"/>
      <c r="K250" s="258"/>
      <c r="L250" s="258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</row>
    <row r="251" spans="1:25" ht="20.25" customHeight="1">
      <c r="A251" s="267"/>
      <c r="B251" s="267"/>
      <c r="C251" s="267"/>
      <c r="D251" s="267"/>
      <c r="E251" s="267"/>
      <c r="F251" s="267"/>
      <c r="G251" s="267"/>
      <c r="H251" s="267"/>
      <c r="I251" s="258"/>
      <c r="J251" s="258"/>
      <c r="K251" s="258"/>
      <c r="L251" s="258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</row>
    <row r="252" spans="1:25" ht="20.25" customHeight="1">
      <c r="A252" s="267"/>
      <c r="B252" s="267"/>
      <c r="C252" s="267"/>
      <c r="D252" s="267"/>
      <c r="E252" s="267"/>
      <c r="F252" s="267"/>
      <c r="G252" s="267"/>
      <c r="H252" s="267"/>
      <c r="I252" s="258"/>
      <c r="J252" s="258"/>
      <c r="K252" s="258"/>
      <c r="L252" s="258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</row>
    <row r="253" spans="1:25" ht="20.25" customHeight="1">
      <c r="A253" s="267"/>
      <c r="B253" s="267"/>
      <c r="C253" s="267"/>
      <c r="D253" s="267"/>
      <c r="E253" s="267"/>
      <c r="F253" s="267"/>
      <c r="G253" s="267"/>
      <c r="H253" s="267"/>
      <c r="I253" s="258"/>
      <c r="J253" s="258"/>
      <c r="K253" s="258"/>
      <c r="L253" s="258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</row>
    <row r="254" spans="1:25" ht="20.25" customHeight="1">
      <c r="A254" s="267"/>
      <c r="B254" s="267"/>
      <c r="C254" s="267"/>
      <c r="D254" s="267"/>
      <c r="E254" s="267"/>
      <c r="F254" s="267"/>
      <c r="G254" s="267"/>
      <c r="H254" s="267"/>
      <c r="I254" s="258"/>
      <c r="J254" s="258"/>
      <c r="K254" s="258"/>
      <c r="L254" s="258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</row>
    <row r="255" spans="1:25" ht="20.25" customHeight="1">
      <c r="A255" s="267"/>
      <c r="B255" s="267"/>
      <c r="C255" s="267"/>
      <c r="D255" s="267"/>
      <c r="E255" s="267"/>
      <c r="F255" s="267"/>
      <c r="G255" s="267"/>
      <c r="H255" s="267"/>
      <c r="I255" s="258"/>
      <c r="J255" s="258"/>
      <c r="K255" s="258"/>
      <c r="L255" s="258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</row>
    <row r="256" spans="1:25" ht="20.25" customHeight="1">
      <c r="A256" s="267"/>
      <c r="B256" s="267"/>
      <c r="C256" s="267"/>
      <c r="D256" s="267"/>
      <c r="E256" s="267"/>
      <c r="F256" s="267"/>
      <c r="G256" s="267"/>
      <c r="H256" s="267"/>
      <c r="I256" s="258"/>
      <c r="J256" s="258"/>
      <c r="K256" s="258"/>
      <c r="L256" s="258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</row>
    <row r="257" spans="1:25" ht="20.25" customHeight="1">
      <c r="A257" s="267"/>
      <c r="B257" s="267"/>
      <c r="C257" s="267"/>
      <c r="D257" s="267"/>
      <c r="E257" s="267"/>
      <c r="F257" s="267"/>
      <c r="G257" s="267"/>
      <c r="H257" s="267"/>
      <c r="I257" s="258"/>
      <c r="J257" s="258"/>
      <c r="K257" s="258"/>
      <c r="L257" s="258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</row>
    <row r="258" spans="1:25" ht="20.25" customHeight="1">
      <c r="A258" s="267"/>
      <c r="B258" s="267"/>
      <c r="C258" s="267"/>
      <c r="D258" s="267"/>
      <c r="E258" s="267"/>
      <c r="F258" s="267"/>
      <c r="G258" s="267"/>
      <c r="H258" s="267"/>
      <c r="I258" s="258"/>
      <c r="J258" s="258"/>
      <c r="K258" s="258"/>
      <c r="L258" s="258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</row>
    <row r="259" spans="1:25" ht="20.25" customHeight="1">
      <c r="A259" s="267"/>
      <c r="B259" s="267"/>
      <c r="C259" s="267"/>
      <c r="D259" s="267"/>
      <c r="E259" s="267"/>
      <c r="F259" s="267"/>
      <c r="G259" s="267"/>
      <c r="H259" s="267"/>
      <c r="I259" s="258"/>
      <c r="J259" s="258"/>
      <c r="K259" s="258"/>
      <c r="L259" s="258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</row>
    <row r="260" spans="1:25" ht="20.25" customHeight="1">
      <c r="A260" s="267"/>
      <c r="B260" s="267"/>
      <c r="C260" s="267"/>
      <c r="D260" s="267"/>
      <c r="E260" s="267"/>
      <c r="F260" s="267"/>
      <c r="G260" s="267"/>
      <c r="H260" s="267"/>
      <c r="I260" s="258"/>
      <c r="J260" s="258"/>
      <c r="K260" s="258"/>
      <c r="L260" s="258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</row>
    <row r="261" spans="1:25" ht="20.25" customHeight="1">
      <c r="A261" s="267"/>
      <c r="B261" s="267"/>
      <c r="C261" s="267"/>
      <c r="D261" s="267"/>
      <c r="E261" s="267"/>
      <c r="F261" s="267"/>
      <c r="G261" s="267"/>
      <c r="H261" s="267"/>
      <c r="I261" s="258"/>
      <c r="J261" s="258"/>
      <c r="K261" s="258"/>
      <c r="L261" s="258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</row>
    <row r="262" spans="1:25" ht="20.25" customHeight="1">
      <c r="A262" s="267"/>
      <c r="B262" s="267"/>
      <c r="C262" s="267"/>
      <c r="D262" s="267"/>
      <c r="E262" s="267"/>
      <c r="F262" s="267"/>
      <c r="G262" s="267"/>
      <c r="H262" s="267"/>
      <c r="I262" s="258"/>
      <c r="J262" s="258"/>
      <c r="K262" s="258"/>
      <c r="L262" s="258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</row>
    <row r="263" spans="1:25" ht="20.25" customHeight="1">
      <c r="A263" s="267"/>
      <c r="B263" s="267"/>
      <c r="C263" s="267"/>
      <c r="D263" s="267"/>
      <c r="E263" s="267"/>
      <c r="F263" s="267"/>
      <c r="G263" s="267"/>
      <c r="H263" s="267"/>
      <c r="I263" s="258"/>
      <c r="J263" s="258"/>
      <c r="K263" s="258"/>
      <c r="L263" s="258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</row>
    <row r="264" spans="1:25" ht="20.25" customHeight="1">
      <c r="A264" s="267"/>
      <c r="B264" s="267"/>
      <c r="C264" s="267"/>
      <c r="D264" s="267"/>
      <c r="E264" s="267"/>
      <c r="F264" s="267"/>
      <c r="G264" s="267"/>
      <c r="H264" s="267"/>
      <c r="I264" s="258"/>
      <c r="J264" s="258"/>
      <c r="K264" s="258"/>
      <c r="L264" s="258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</row>
    <row r="265" spans="1:25" ht="20.25" customHeight="1">
      <c r="A265" s="267"/>
      <c r="B265" s="267"/>
      <c r="C265" s="267"/>
      <c r="D265" s="267"/>
      <c r="E265" s="267"/>
      <c r="F265" s="267"/>
      <c r="G265" s="267"/>
      <c r="H265" s="267"/>
      <c r="I265" s="258"/>
      <c r="J265" s="258"/>
      <c r="K265" s="258"/>
      <c r="L265" s="258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</row>
    <row r="266" spans="1:25" ht="20.25" customHeight="1">
      <c r="A266" s="267"/>
      <c r="B266" s="267"/>
      <c r="C266" s="267"/>
      <c r="D266" s="267"/>
      <c r="E266" s="267"/>
      <c r="F266" s="267"/>
      <c r="G266" s="267"/>
      <c r="H266" s="267"/>
      <c r="I266" s="258"/>
      <c r="J266" s="258"/>
      <c r="K266" s="258"/>
      <c r="L266" s="258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</row>
    <row r="267" spans="1:25" ht="20.25" customHeight="1">
      <c r="A267" s="267"/>
      <c r="B267" s="267"/>
      <c r="C267" s="267"/>
      <c r="D267" s="267"/>
      <c r="E267" s="267"/>
      <c r="F267" s="267"/>
      <c r="G267" s="267"/>
      <c r="H267" s="267"/>
      <c r="I267" s="258"/>
      <c r="J267" s="258"/>
      <c r="K267" s="258"/>
      <c r="L267" s="258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</row>
    <row r="268" spans="1:25" ht="20.25" customHeight="1">
      <c r="A268" s="267"/>
      <c r="B268" s="267"/>
      <c r="C268" s="267"/>
      <c r="D268" s="267"/>
      <c r="E268" s="267"/>
      <c r="F268" s="267"/>
      <c r="G268" s="267"/>
      <c r="H268" s="267"/>
      <c r="I268" s="258"/>
      <c r="J268" s="258"/>
      <c r="K268" s="258"/>
      <c r="L268" s="258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</row>
    <row r="269" spans="1:25" ht="20.25" customHeight="1">
      <c r="A269" s="267"/>
      <c r="B269" s="267"/>
      <c r="C269" s="267"/>
      <c r="D269" s="267"/>
      <c r="E269" s="267"/>
      <c r="F269" s="267"/>
      <c r="G269" s="267"/>
      <c r="H269" s="267"/>
      <c r="I269" s="258"/>
      <c r="J269" s="258"/>
      <c r="K269" s="258"/>
      <c r="L269" s="258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</row>
    <row r="270" spans="1:25" ht="20.25" customHeight="1">
      <c r="A270" s="267"/>
      <c r="B270" s="267"/>
      <c r="C270" s="267"/>
      <c r="D270" s="267"/>
      <c r="E270" s="267"/>
      <c r="F270" s="267"/>
      <c r="G270" s="267"/>
      <c r="H270" s="267"/>
      <c r="I270" s="258"/>
      <c r="J270" s="258"/>
      <c r="K270" s="258"/>
      <c r="L270" s="258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</row>
    <row r="271" spans="1:25" ht="20.25" customHeight="1">
      <c r="A271" s="267"/>
      <c r="B271" s="267"/>
      <c r="C271" s="267"/>
      <c r="D271" s="267"/>
      <c r="E271" s="267"/>
      <c r="F271" s="267"/>
      <c r="G271" s="267"/>
      <c r="H271" s="267"/>
      <c r="I271" s="258"/>
      <c r="J271" s="258"/>
      <c r="K271" s="258"/>
      <c r="L271" s="258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</row>
    <row r="272" spans="1:25" ht="20.25" customHeight="1">
      <c r="A272" s="267"/>
      <c r="B272" s="267"/>
      <c r="C272" s="267"/>
      <c r="D272" s="267"/>
      <c r="E272" s="267"/>
      <c r="F272" s="267"/>
      <c r="G272" s="267"/>
      <c r="H272" s="267"/>
      <c r="I272" s="258"/>
      <c r="J272" s="258"/>
      <c r="K272" s="258"/>
      <c r="L272" s="258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</row>
    <row r="273" spans="1:25" ht="20.25" customHeight="1">
      <c r="A273" s="267"/>
      <c r="B273" s="267"/>
      <c r="C273" s="267"/>
      <c r="D273" s="267"/>
      <c r="E273" s="267"/>
      <c r="F273" s="267"/>
      <c r="G273" s="267"/>
      <c r="H273" s="267"/>
      <c r="I273" s="258"/>
      <c r="J273" s="258"/>
      <c r="K273" s="258"/>
      <c r="L273" s="258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</row>
    <row r="274" spans="1:25" ht="20.25" customHeight="1">
      <c r="A274" s="267"/>
      <c r="B274" s="267"/>
      <c r="C274" s="267"/>
      <c r="D274" s="267"/>
      <c r="E274" s="267"/>
      <c r="F274" s="267"/>
      <c r="G274" s="267"/>
      <c r="H274" s="267"/>
      <c r="I274" s="258"/>
      <c r="J274" s="258"/>
      <c r="K274" s="258"/>
      <c r="L274" s="258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</row>
    <row r="275" spans="1:25" ht="20.25" customHeight="1">
      <c r="A275" s="267"/>
      <c r="B275" s="267"/>
      <c r="C275" s="267"/>
      <c r="D275" s="267"/>
      <c r="E275" s="267"/>
      <c r="F275" s="267"/>
      <c r="G275" s="267"/>
      <c r="H275" s="267"/>
      <c r="I275" s="258"/>
      <c r="J275" s="258"/>
      <c r="K275" s="258"/>
      <c r="L275" s="258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</row>
    <row r="276" spans="1:25" ht="20.25" customHeight="1">
      <c r="A276" s="267"/>
      <c r="B276" s="267"/>
      <c r="C276" s="267"/>
      <c r="D276" s="267"/>
      <c r="E276" s="267"/>
      <c r="F276" s="267"/>
      <c r="G276" s="267"/>
      <c r="H276" s="267"/>
      <c r="I276" s="258"/>
      <c r="J276" s="258"/>
      <c r="K276" s="258"/>
      <c r="L276" s="258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</row>
    <row r="277" spans="1:25" ht="20.25" customHeight="1">
      <c r="A277" s="267"/>
      <c r="B277" s="267"/>
      <c r="C277" s="267"/>
      <c r="D277" s="267"/>
      <c r="E277" s="267"/>
      <c r="F277" s="267"/>
      <c r="G277" s="267"/>
      <c r="H277" s="267"/>
      <c r="I277" s="258"/>
      <c r="J277" s="258"/>
      <c r="K277" s="258"/>
      <c r="L277" s="258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</row>
    <row r="278" spans="1:25" ht="20.25" customHeight="1">
      <c r="A278" s="267"/>
      <c r="B278" s="267"/>
      <c r="C278" s="267"/>
      <c r="D278" s="267"/>
      <c r="E278" s="267"/>
      <c r="F278" s="267"/>
      <c r="G278" s="267"/>
      <c r="H278" s="267"/>
      <c r="I278" s="258"/>
      <c r="J278" s="258"/>
      <c r="K278" s="258"/>
      <c r="L278" s="258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</row>
    <row r="279" spans="1:25" ht="20.25" customHeight="1">
      <c r="A279" s="267"/>
      <c r="B279" s="267"/>
      <c r="C279" s="267"/>
      <c r="D279" s="267"/>
      <c r="E279" s="267"/>
      <c r="F279" s="267"/>
      <c r="G279" s="267"/>
      <c r="H279" s="267"/>
      <c r="I279" s="258"/>
      <c r="J279" s="258"/>
      <c r="K279" s="258"/>
      <c r="L279" s="258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</row>
    <row r="280" spans="1:25" ht="20.25" customHeight="1">
      <c r="A280" s="267"/>
      <c r="B280" s="267"/>
      <c r="C280" s="267"/>
      <c r="D280" s="267"/>
      <c r="E280" s="267"/>
      <c r="F280" s="267"/>
      <c r="G280" s="267"/>
      <c r="H280" s="267"/>
      <c r="I280" s="258"/>
      <c r="J280" s="258"/>
      <c r="K280" s="258"/>
      <c r="L280" s="258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</row>
    <row r="281" spans="1:25" ht="20.25" customHeight="1">
      <c r="A281" s="267"/>
      <c r="B281" s="267"/>
      <c r="C281" s="267"/>
      <c r="D281" s="267"/>
      <c r="E281" s="267"/>
      <c r="F281" s="267"/>
      <c r="G281" s="267"/>
      <c r="H281" s="267"/>
      <c r="I281" s="258"/>
      <c r="J281" s="258"/>
      <c r="K281" s="258"/>
      <c r="L281" s="258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</row>
    <row r="282" spans="1:25" ht="20.25" customHeight="1">
      <c r="A282" s="267"/>
      <c r="B282" s="267"/>
      <c r="C282" s="267"/>
      <c r="D282" s="267"/>
      <c r="E282" s="267"/>
      <c r="F282" s="267"/>
      <c r="G282" s="267"/>
      <c r="H282" s="267"/>
      <c r="I282" s="258"/>
      <c r="J282" s="258"/>
      <c r="K282" s="258"/>
      <c r="L282" s="258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</row>
    <row r="283" spans="1:25" ht="20.25" customHeight="1">
      <c r="A283" s="267"/>
      <c r="B283" s="267"/>
      <c r="C283" s="267"/>
      <c r="D283" s="267"/>
      <c r="E283" s="267"/>
      <c r="F283" s="267"/>
      <c r="G283" s="267"/>
      <c r="H283" s="267"/>
      <c r="I283" s="258"/>
      <c r="J283" s="258"/>
      <c r="K283" s="258"/>
      <c r="L283" s="258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</row>
    <row r="284" spans="1:25" ht="20.25" customHeight="1">
      <c r="A284" s="267"/>
      <c r="B284" s="267"/>
      <c r="C284" s="267"/>
      <c r="D284" s="267"/>
      <c r="E284" s="267"/>
      <c r="F284" s="267"/>
      <c r="G284" s="267"/>
      <c r="H284" s="267"/>
      <c r="I284" s="258"/>
      <c r="J284" s="258"/>
      <c r="K284" s="258"/>
      <c r="L284" s="258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</row>
    <row r="285" spans="1:25" ht="20.25" customHeight="1">
      <c r="A285" s="267"/>
      <c r="B285" s="267"/>
      <c r="C285" s="267"/>
      <c r="D285" s="267"/>
      <c r="E285" s="267"/>
      <c r="F285" s="267"/>
      <c r="G285" s="267"/>
      <c r="H285" s="267"/>
      <c r="I285" s="258"/>
      <c r="J285" s="258"/>
      <c r="K285" s="258"/>
      <c r="L285" s="258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</row>
    <row r="286" spans="1:25" ht="20.25" customHeight="1">
      <c r="A286" s="267"/>
      <c r="B286" s="267"/>
      <c r="C286" s="267"/>
      <c r="D286" s="267"/>
      <c r="E286" s="267"/>
      <c r="F286" s="267"/>
      <c r="G286" s="267"/>
      <c r="H286" s="267"/>
      <c r="I286" s="258"/>
      <c r="J286" s="258"/>
      <c r="K286" s="258"/>
      <c r="L286" s="258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</row>
    <row r="287" spans="1:25" ht="20.25" customHeight="1">
      <c r="A287" s="267"/>
      <c r="B287" s="267"/>
      <c r="C287" s="267"/>
      <c r="D287" s="267"/>
      <c r="E287" s="267"/>
      <c r="F287" s="267"/>
      <c r="G287" s="267"/>
      <c r="H287" s="267"/>
      <c r="I287" s="258"/>
      <c r="J287" s="258"/>
      <c r="K287" s="258"/>
      <c r="L287" s="258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</row>
    <row r="288" spans="1:25" ht="20.25" customHeight="1">
      <c r="A288" s="267"/>
      <c r="B288" s="267"/>
      <c r="C288" s="267"/>
      <c r="D288" s="267"/>
      <c r="E288" s="267"/>
      <c r="F288" s="267"/>
      <c r="G288" s="267"/>
      <c r="H288" s="267"/>
      <c r="I288" s="258"/>
      <c r="J288" s="258"/>
      <c r="K288" s="258"/>
      <c r="L288" s="258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</row>
    <row r="289" spans="1:25" ht="20.25" customHeight="1">
      <c r="A289" s="267"/>
      <c r="B289" s="267"/>
      <c r="C289" s="267"/>
      <c r="D289" s="267"/>
      <c r="E289" s="267"/>
      <c r="F289" s="267"/>
      <c r="G289" s="267"/>
      <c r="H289" s="267"/>
      <c r="I289" s="258"/>
      <c r="J289" s="258"/>
      <c r="K289" s="258"/>
      <c r="L289" s="258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</row>
    <row r="290" spans="1:25" ht="20.25" customHeight="1">
      <c r="A290" s="267"/>
      <c r="B290" s="267"/>
      <c r="C290" s="267"/>
      <c r="D290" s="267"/>
      <c r="E290" s="267"/>
      <c r="F290" s="267"/>
      <c r="G290" s="267"/>
      <c r="H290" s="267"/>
      <c r="I290" s="258"/>
      <c r="J290" s="258"/>
      <c r="K290" s="258"/>
      <c r="L290" s="258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</row>
    <row r="291" spans="1:25" ht="20.25" customHeight="1">
      <c r="A291" s="267"/>
      <c r="B291" s="267"/>
      <c r="C291" s="267"/>
      <c r="D291" s="267"/>
      <c r="E291" s="267"/>
      <c r="F291" s="267"/>
      <c r="G291" s="267"/>
      <c r="H291" s="267"/>
      <c r="I291" s="258"/>
      <c r="J291" s="258"/>
      <c r="K291" s="258"/>
      <c r="L291" s="258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</row>
    <row r="292" spans="1:25" ht="20.25" customHeight="1">
      <c r="A292" s="267"/>
      <c r="B292" s="267"/>
      <c r="C292" s="267"/>
      <c r="D292" s="267"/>
      <c r="E292" s="267"/>
      <c r="F292" s="267"/>
      <c r="G292" s="267"/>
      <c r="H292" s="267"/>
      <c r="I292" s="258"/>
      <c r="J292" s="258"/>
      <c r="K292" s="258"/>
      <c r="L292" s="258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</row>
    <row r="293" spans="1:25" ht="20.25" customHeight="1">
      <c r="A293" s="267"/>
      <c r="B293" s="267"/>
      <c r="C293" s="267"/>
      <c r="D293" s="267"/>
      <c r="E293" s="267"/>
      <c r="F293" s="267"/>
      <c r="G293" s="267"/>
      <c r="H293" s="267"/>
      <c r="I293" s="258"/>
      <c r="J293" s="258"/>
      <c r="K293" s="258"/>
      <c r="L293" s="258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</row>
    <row r="294" spans="1:25" ht="20.25" customHeight="1">
      <c r="A294" s="267"/>
      <c r="B294" s="267"/>
      <c r="C294" s="267"/>
      <c r="D294" s="267"/>
      <c r="E294" s="267"/>
      <c r="F294" s="267"/>
      <c r="G294" s="267"/>
      <c r="H294" s="267"/>
      <c r="I294" s="258"/>
      <c r="J294" s="258"/>
      <c r="K294" s="258"/>
      <c r="L294" s="258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</row>
    <row r="295" spans="1:25" ht="20.25" customHeight="1">
      <c r="A295" s="267"/>
      <c r="B295" s="267"/>
      <c r="C295" s="267"/>
      <c r="D295" s="267"/>
      <c r="E295" s="267"/>
      <c r="F295" s="267"/>
      <c r="G295" s="267"/>
      <c r="H295" s="267"/>
      <c r="I295" s="258"/>
      <c r="J295" s="258"/>
      <c r="K295" s="258"/>
      <c r="L295" s="258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</row>
    <row r="296" spans="1:25" ht="20.25" customHeight="1">
      <c r="A296" s="267"/>
      <c r="B296" s="267"/>
      <c r="C296" s="267"/>
      <c r="D296" s="267"/>
      <c r="E296" s="267"/>
      <c r="F296" s="267"/>
      <c r="G296" s="267"/>
      <c r="H296" s="267"/>
      <c r="I296" s="258"/>
      <c r="J296" s="258"/>
      <c r="K296" s="258"/>
      <c r="L296" s="258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</row>
    <row r="297" spans="1:25" ht="20.25" customHeight="1">
      <c r="A297" s="267"/>
      <c r="B297" s="267"/>
      <c r="C297" s="267"/>
      <c r="D297" s="267"/>
      <c r="E297" s="267"/>
      <c r="F297" s="267"/>
      <c r="G297" s="267"/>
      <c r="H297" s="267"/>
      <c r="I297" s="258"/>
      <c r="J297" s="258"/>
      <c r="K297" s="258"/>
      <c r="L297" s="258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</row>
    <row r="298" spans="1:25" ht="20.25" customHeight="1">
      <c r="A298" s="267"/>
      <c r="B298" s="267"/>
      <c r="C298" s="267"/>
      <c r="D298" s="267"/>
      <c r="E298" s="267"/>
      <c r="F298" s="267"/>
      <c r="G298" s="267"/>
      <c r="H298" s="267"/>
      <c r="I298" s="258"/>
      <c r="J298" s="258"/>
      <c r="K298" s="258"/>
      <c r="L298" s="258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</row>
    <row r="299" spans="1:25" ht="20.25" customHeight="1">
      <c r="A299" s="267"/>
      <c r="B299" s="267"/>
      <c r="C299" s="267"/>
      <c r="D299" s="267"/>
      <c r="E299" s="267"/>
      <c r="F299" s="267"/>
      <c r="G299" s="267"/>
      <c r="H299" s="267"/>
      <c r="I299" s="258"/>
      <c r="J299" s="258"/>
      <c r="K299" s="258"/>
      <c r="L299" s="258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</row>
    <row r="300" spans="1:25" ht="20.25" customHeight="1">
      <c r="A300" s="267"/>
      <c r="B300" s="267"/>
      <c r="C300" s="267"/>
      <c r="D300" s="267"/>
      <c r="E300" s="267"/>
      <c r="F300" s="267"/>
      <c r="G300" s="267"/>
      <c r="H300" s="267"/>
      <c r="I300" s="258"/>
      <c r="J300" s="258"/>
      <c r="K300" s="258"/>
      <c r="L300" s="258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</row>
    <row r="301" spans="1:25" ht="20.25" customHeight="1">
      <c r="A301" s="267"/>
      <c r="B301" s="267"/>
      <c r="C301" s="267"/>
      <c r="D301" s="267"/>
      <c r="E301" s="267"/>
      <c r="F301" s="267"/>
      <c r="G301" s="267"/>
      <c r="H301" s="267"/>
      <c r="I301" s="258"/>
      <c r="J301" s="258"/>
      <c r="K301" s="258"/>
      <c r="L301" s="258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</row>
    <row r="302" spans="1:25" ht="20.25" customHeight="1">
      <c r="A302" s="267"/>
      <c r="B302" s="267"/>
      <c r="C302" s="267"/>
      <c r="D302" s="267"/>
      <c r="E302" s="267"/>
      <c r="F302" s="267"/>
      <c r="G302" s="267"/>
      <c r="H302" s="267"/>
      <c r="I302" s="258"/>
      <c r="J302" s="258"/>
      <c r="K302" s="258"/>
      <c r="L302" s="258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</row>
    <row r="303" spans="1:25" ht="20.25" customHeight="1">
      <c r="A303" s="267"/>
      <c r="B303" s="267"/>
      <c r="C303" s="267"/>
      <c r="D303" s="267"/>
      <c r="E303" s="267"/>
      <c r="F303" s="267"/>
      <c r="G303" s="267"/>
      <c r="H303" s="267"/>
      <c r="I303" s="258"/>
      <c r="J303" s="258"/>
      <c r="K303" s="258"/>
      <c r="L303" s="258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</row>
    <row r="304" spans="1:25" ht="20.25" customHeight="1">
      <c r="A304" s="267"/>
      <c r="B304" s="267"/>
      <c r="C304" s="267"/>
      <c r="D304" s="267"/>
      <c r="E304" s="267"/>
      <c r="F304" s="267"/>
      <c r="G304" s="267"/>
      <c r="H304" s="267"/>
      <c r="I304" s="258"/>
      <c r="J304" s="258"/>
      <c r="K304" s="258"/>
      <c r="L304" s="258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</row>
    <row r="305" spans="1:25" ht="20.25" customHeight="1">
      <c r="A305" s="267"/>
      <c r="B305" s="267"/>
      <c r="C305" s="267"/>
      <c r="D305" s="267"/>
      <c r="E305" s="267"/>
      <c r="F305" s="267"/>
      <c r="G305" s="267"/>
      <c r="H305" s="267"/>
      <c r="I305" s="258"/>
      <c r="J305" s="258"/>
      <c r="K305" s="258"/>
      <c r="L305" s="258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</row>
    <row r="306" spans="1:25" ht="20.25" customHeight="1">
      <c r="A306" s="267"/>
      <c r="B306" s="267"/>
      <c r="C306" s="267"/>
      <c r="D306" s="267"/>
      <c r="E306" s="267"/>
      <c r="F306" s="267"/>
      <c r="G306" s="267"/>
      <c r="H306" s="267"/>
      <c r="I306" s="258"/>
      <c r="J306" s="258"/>
      <c r="K306" s="258"/>
      <c r="L306" s="258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</row>
    <row r="307" spans="1:25" ht="20.25" customHeight="1">
      <c r="A307" s="267"/>
      <c r="B307" s="267"/>
      <c r="C307" s="267"/>
      <c r="D307" s="267"/>
      <c r="E307" s="267"/>
      <c r="F307" s="267"/>
      <c r="G307" s="267"/>
      <c r="H307" s="267"/>
      <c r="I307" s="258"/>
      <c r="J307" s="258"/>
      <c r="K307" s="258"/>
      <c r="L307" s="258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</row>
    <row r="308" spans="1:25" ht="20.25" customHeight="1">
      <c r="A308" s="267"/>
      <c r="B308" s="267"/>
      <c r="C308" s="267"/>
      <c r="D308" s="267"/>
      <c r="E308" s="267"/>
      <c r="F308" s="267"/>
      <c r="G308" s="267"/>
      <c r="H308" s="267"/>
      <c r="I308" s="258"/>
      <c r="J308" s="258"/>
      <c r="K308" s="258"/>
      <c r="L308" s="258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</row>
    <row r="309" spans="1:25" ht="20.25" customHeight="1">
      <c r="A309" s="267"/>
      <c r="B309" s="267"/>
      <c r="C309" s="267"/>
      <c r="D309" s="267"/>
      <c r="E309" s="267"/>
      <c r="F309" s="267"/>
      <c r="G309" s="267"/>
      <c r="H309" s="267"/>
      <c r="I309" s="258"/>
      <c r="J309" s="258"/>
      <c r="K309" s="258"/>
      <c r="L309" s="258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</row>
    <row r="310" spans="1:25" ht="20.25" customHeight="1">
      <c r="A310" s="267"/>
      <c r="B310" s="267"/>
      <c r="C310" s="267"/>
      <c r="D310" s="267"/>
      <c r="E310" s="267"/>
      <c r="F310" s="267"/>
      <c r="G310" s="267"/>
      <c r="H310" s="267"/>
      <c r="I310" s="258"/>
      <c r="J310" s="258"/>
      <c r="K310" s="258"/>
      <c r="L310" s="258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</row>
    <row r="311" spans="1:25" ht="20.25" customHeight="1">
      <c r="A311" s="267"/>
      <c r="B311" s="267"/>
      <c r="C311" s="267"/>
      <c r="D311" s="267"/>
      <c r="E311" s="267"/>
      <c r="F311" s="267"/>
      <c r="G311" s="267"/>
      <c r="H311" s="267"/>
      <c r="I311" s="258"/>
      <c r="J311" s="258"/>
      <c r="K311" s="258"/>
      <c r="L311" s="258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</row>
    <row r="312" spans="1:25" ht="20.25" customHeight="1">
      <c r="A312" s="267"/>
      <c r="B312" s="267"/>
      <c r="C312" s="267"/>
      <c r="D312" s="267"/>
      <c r="E312" s="267"/>
      <c r="F312" s="267"/>
      <c r="G312" s="267"/>
      <c r="H312" s="267"/>
      <c r="I312" s="258"/>
      <c r="J312" s="258"/>
      <c r="K312" s="258"/>
      <c r="L312" s="258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</row>
    <row r="313" spans="1:25" ht="20.25" customHeight="1">
      <c r="A313" s="267"/>
      <c r="B313" s="267"/>
      <c r="C313" s="267"/>
      <c r="D313" s="267"/>
      <c r="E313" s="267"/>
      <c r="F313" s="267"/>
      <c r="G313" s="267"/>
      <c r="H313" s="267"/>
      <c r="I313" s="258"/>
      <c r="J313" s="258"/>
      <c r="K313" s="258"/>
      <c r="L313" s="258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</row>
    <row r="314" spans="1:25" ht="20.25" customHeight="1">
      <c r="A314" s="267"/>
      <c r="B314" s="267"/>
      <c r="C314" s="267"/>
      <c r="D314" s="267"/>
      <c r="E314" s="267"/>
      <c r="F314" s="267"/>
      <c r="G314" s="267"/>
      <c r="H314" s="267"/>
      <c r="I314" s="258"/>
      <c r="J314" s="258"/>
      <c r="K314" s="258"/>
      <c r="L314" s="258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</row>
    <row r="315" spans="1:25" ht="20.25" customHeight="1">
      <c r="A315" s="267"/>
      <c r="B315" s="267"/>
      <c r="C315" s="267"/>
      <c r="D315" s="267"/>
      <c r="E315" s="267"/>
      <c r="F315" s="267"/>
      <c r="G315" s="267"/>
      <c r="H315" s="267"/>
      <c r="I315" s="258"/>
      <c r="J315" s="258"/>
      <c r="K315" s="258"/>
      <c r="L315" s="258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</row>
    <row r="316" spans="1:25" ht="20.25" customHeight="1">
      <c r="A316" s="267"/>
      <c r="B316" s="267"/>
      <c r="C316" s="267"/>
      <c r="D316" s="267"/>
      <c r="E316" s="267"/>
      <c r="F316" s="267"/>
      <c r="G316" s="267"/>
      <c r="H316" s="267"/>
      <c r="I316" s="258"/>
      <c r="J316" s="258"/>
      <c r="K316" s="258"/>
      <c r="L316" s="258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</row>
    <row r="317" spans="1:25" ht="20.25" customHeight="1">
      <c r="A317" s="267"/>
      <c r="B317" s="267"/>
      <c r="C317" s="267"/>
      <c r="D317" s="267"/>
      <c r="E317" s="267"/>
      <c r="F317" s="267"/>
      <c r="G317" s="267"/>
      <c r="H317" s="267"/>
      <c r="I317" s="258"/>
      <c r="J317" s="258"/>
      <c r="K317" s="258"/>
      <c r="L317" s="258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</row>
    <row r="318" spans="1:25" ht="20.25" customHeight="1">
      <c r="A318" s="267"/>
      <c r="B318" s="267"/>
      <c r="C318" s="267"/>
      <c r="D318" s="267"/>
      <c r="E318" s="267"/>
      <c r="F318" s="267"/>
      <c r="G318" s="267"/>
      <c r="H318" s="267"/>
      <c r="I318" s="258"/>
      <c r="J318" s="258"/>
      <c r="K318" s="258"/>
      <c r="L318" s="258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</row>
    <row r="319" spans="1:25" ht="20.25" customHeight="1">
      <c r="A319" s="267"/>
      <c r="B319" s="267"/>
      <c r="C319" s="267"/>
      <c r="D319" s="267"/>
      <c r="E319" s="267"/>
      <c r="F319" s="267"/>
      <c r="G319" s="267"/>
      <c r="H319" s="267"/>
      <c r="I319" s="258"/>
      <c r="J319" s="258"/>
      <c r="K319" s="258"/>
      <c r="L319" s="258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</row>
    <row r="320" spans="1:25" ht="20.25" customHeight="1">
      <c r="A320" s="267"/>
      <c r="B320" s="267"/>
      <c r="C320" s="267"/>
      <c r="D320" s="267"/>
      <c r="E320" s="267"/>
      <c r="F320" s="267"/>
      <c r="G320" s="267"/>
      <c r="H320" s="267"/>
      <c r="I320" s="258"/>
      <c r="J320" s="258"/>
      <c r="K320" s="258"/>
      <c r="L320" s="258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</row>
    <row r="321" spans="1:25" ht="20.25" customHeight="1">
      <c r="A321" s="267"/>
      <c r="B321" s="267"/>
      <c r="C321" s="267"/>
      <c r="D321" s="267"/>
      <c r="E321" s="267"/>
      <c r="F321" s="267"/>
      <c r="G321" s="267"/>
      <c r="H321" s="267"/>
      <c r="I321" s="258"/>
      <c r="J321" s="258"/>
      <c r="K321" s="258"/>
      <c r="L321" s="258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</row>
    <row r="322" spans="1:25" ht="20.25" customHeight="1">
      <c r="A322" s="267"/>
      <c r="B322" s="267"/>
      <c r="C322" s="267"/>
      <c r="D322" s="267"/>
      <c r="E322" s="267"/>
      <c r="F322" s="267"/>
      <c r="G322" s="267"/>
      <c r="H322" s="267"/>
      <c r="I322" s="258"/>
      <c r="J322" s="258"/>
      <c r="K322" s="258"/>
      <c r="L322" s="258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</row>
    <row r="323" spans="1:25" ht="20.25" customHeight="1">
      <c r="A323" s="267"/>
      <c r="B323" s="267"/>
      <c r="C323" s="267"/>
      <c r="D323" s="267"/>
      <c r="E323" s="267"/>
      <c r="F323" s="267"/>
      <c r="G323" s="267"/>
      <c r="H323" s="267"/>
      <c r="I323" s="258"/>
      <c r="J323" s="258"/>
      <c r="K323" s="258"/>
      <c r="L323" s="258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</row>
    <row r="324" spans="1:25" ht="20.25" customHeight="1">
      <c r="A324" s="267"/>
      <c r="B324" s="267"/>
      <c r="C324" s="267"/>
      <c r="D324" s="267"/>
      <c r="E324" s="267"/>
      <c r="F324" s="267"/>
      <c r="G324" s="267"/>
      <c r="H324" s="267"/>
      <c r="I324" s="258"/>
      <c r="J324" s="258"/>
      <c r="K324" s="258"/>
      <c r="L324" s="258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</row>
    <row r="325" spans="1:25" ht="20.25" customHeight="1">
      <c r="A325" s="267"/>
      <c r="B325" s="267"/>
      <c r="C325" s="267"/>
      <c r="D325" s="267"/>
      <c r="E325" s="267"/>
      <c r="F325" s="267"/>
      <c r="G325" s="267"/>
      <c r="H325" s="267"/>
      <c r="I325" s="258"/>
      <c r="J325" s="258"/>
      <c r="K325" s="258"/>
      <c r="L325" s="258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</row>
    <row r="326" spans="1:25" ht="20.25" customHeight="1">
      <c r="A326" s="267"/>
      <c r="B326" s="267"/>
      <c r="C326" s="267"/>
      <c r="D326" s="267"/>
      <c r="E326" s="267"/>
      <c r="F326" s="267"/>
      <c r="G326" s="267"/>
      <c r="H326" s="267"/>
      <c r="I326" s="258"/>
      <c r="J326" s="258"/>
      <c r="K326" s="258"/>
      <c r="L326" s="258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</row>
    <row r="327" spans="1:25" ht="20.25" customHeight="1">
      <c r="A327" s="267"/>
      <c r="B327" s="267"/>
      <c r="C327" s="267"/>
      <c r="D327" s="267"/>
      <c r="E327" s="267"/>
      <c r="F327" s="267"/>
      <c r="G327" s="267"/>
      <c r="H327" s="267"/>
      <c r="I327" s="258"/>
      <c r="J327" s="258"/>
      <c r="K327" s="258"/>
      <c r="L327" s="258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</row>
    <row r="328" spans="1:25" ht="20.25" customHeight="1">
      <c r="A328" s="267"/>
      <c r="B328" s="267"/>
      <c r="C328" s="267"/>
      <c r="D328" s="267"/>
      <c r="E328" s="267"/>
      <c r="F328" s="267"/>
      <c r="G328" s="267"/>
      <c r="H328" s="267"/>
      <c r="I328" s="258"/>
      <c r="J328" s="258"/>
      <c r="K328" s="258"/>
      <c r="L328" s="258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</row>
    <row r="329" spans="1:25" ht="20.25" customHeight="1">
      <c r="A329" s="267"/>
      <c r="B329" s="267"/>
      <c r="C329" s="267"/>
      <c r="D329" s="267"/>
      <c r="E329" s="267"/>
      <c r="F329" s="267"/>
      <c r="G329" s="267"/>
      <c r="H329" s="267"/>
      <c r="I329" s="258"/>
      <c r="J329" s="258"/>
      <c r="K329" s="258"/>
      <c r="L329" s="258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</row>
    <row r="330" spans="1:25" ht="20.25" customHeight="1">
      <c r="A330" s="267"/>
      <c r="B330" s="267"/>
      <c r="C330" s="267"/>
      <c r="D330" s="267"/>
      <c r="E330" s="267"/>
      <c r="F330" s="267"/>
      <c r="G330" s="267"/>
      <c r="H330" s="267"/>
      <c r="I330" s="258"/>
      <c r="J330" s="258"/>
      <c r="K330" s="258"/>
      <c r="L330" s="258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</row>
    <row r="331" spans="1:25" ht="20.25" customHeight="1">
      <c r="A331" s="267"/>
      <c r="B331" s="267"/>
      <c r="C331" s="267"/>
      <c r="D331" s="267"/>
      <c r="E331" s="267"/>
      <c r="F331" s="267"/>
      <c r="G331" s="267"/>
      <c r="H331" s="267"/>
      <c r="I331" s="258"/>
      <c r="J331" s="258"/>
      <c r="K331" s="258"/>
      <c r="L331" s="258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</row>
    <row r="332" spans="1:25" ht="20.25" customHeight="1">
      <c r="A332" s="267"/>
      <c r="B332" s="267"/>
      <c r="C332" s="267"/>
      <c r="D332" s="267"/>
      <c r="E332" s="267"/>
      <c r="F332" s="267"/>
      <c r="G332" s="267"/>
      <c r="H332" s="267"/>
      <c r="I332" s="258"/>
      <c r="J332" s="258"/>
      <c r="K332" s="258"/>
      <c r="L332" s="258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</row>
    <row r="333" spans="1:25" ht="20.25" customHeight="1">
      <c r="A333" s="267"/>
      <c r="B333" s="267"/>
      <c r="C333" s="267"/>
      <c r="D333" s="267"/>
      <c r="E333" s="267"/>
      <c r="F333" s="267"/>
      <c r="G333" s="267"/>
      <c r="H333" s="267"/>
      <c r="I333" s="258"/>
      <c r="J333" s="258"/>
      <c r="K333" s="258"/>
      <c r="L333" s="258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</row>
    <row r="334" spans="1:25" ht="20.25" customHeight="1">
      <c r="A334" s="267"/>
      <c r="B334" s="267"/>
      <c r="C334" s="267"/>
      <c r="D334" s="267"/>
      <c r="E334" s="267"/>
      <c r="F334" s="267"/>
      <c r="G334" s="267"/>
      <c r="H334" s="267"/>
      <c r="I334" s="258"/>
      <c r="J334" s="258"/>
      <c r="K334" s="258"/>
      <c r="L334" s="258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</row>
    <row r="335" spans="1:25" ht="20.25" customHeight="1">
      <c r="A335" s="267"/>
      <c r="B335" s="267"/>
      <c r="C335" s="267"/>
      <c r="D335" s="267"/>
      <c r="E335" s="267"/>
      <c r="F335" s="267"/>
      <c r="G335" s="267"/>
      <c r="H335" s="267"/>
      <c r="I335" s="258"/>
      <c r="J335" s="258"/>
      <c r="K335" s="258"/>
      <c r="L335" s="258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</row>
    <row r="336" spans="1:25" ht="20.25" customHeight="1">
      <c r="A336" s="267"/>
      <c r="B336" s="267"/>
      <c r="C336" s="267"/>
      <c r="D336" s="267"/>
      <c r="E336" s="267"/>
      <c r="F336" s="267"/>
      <c r="G336" s="267"/>
      <c r="H336" s="267"/>
      <c r="I336" s="258"/>
      <c r="J336" s="258"/>
      <c r="K336" s="258"/>
      <c r="L336" s="258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</row>
    <row r="337" spans="1:25" ht="20.25" customHeight="1">
      <c r="A337" s="267"/>
      <c r="B337" s="267"/>
      <c r="C337" s="267"/>
      <c r="D337" s="267"/>
      <c r="E337" s="267"/>
      <c r="F337" s="267"/>
      <c r="G337" s="267"/>
      <c r="H337" s="267"/>
      <c r="I337" s="258"/>
      <c r="J337" s="258"/>
      <c r="K337" s="258"/>
      <c r="L337" s="258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</row>
    <row r="338" spans="1:25" ht="20.25" customHeight="1">
      <c r="A338" s="267"/>
      <c r="B338" s="267"/>
      <c r="C338" s="267"/>
      <c r="D338" s="267"/>
      <c r="E338" s="267"/>
      <c r="F338" s="267"/>
      <c r="G338" s="267"/>
      <c r="H338" s="267"/>
      <c r="I338" s="258"/>
      <c r="J338" s="258"/>
      <c r="K338" s="258"/>
      <c r="L338" s="258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</row>
    <row r="339" spans="1:25" ht="20.25" customHeight="1">
      <c r="A339" s="267"/>
      <c r="B339" s="267"/>
      <c r="C339" s="267"/>
      <c r="D339" s="267"/>
      <c r="E339" s="267"/>
      <c r="F339" s="267"/>
      <c r="G339" s="267"/>
      <c r="H339" s="267"/>
      <c r="I339" s="258"/>
      <c r="J339" s="258"/>
      <c r="K339" s="258"/>
      <c r="L339" s="258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</row>
    <row r="340" spans="1:25" ht="20.25" customHeight="1">
      <c r="A340" s="267"/>
      <c r="B340" s="267"/>
      <c r="C340" s="267"/>
      <c r="D340" s="267"/>
      <c r="E340" s="267"/>
      <c r="F340" s="267"/>
      <c r="G340" s="267"/>
      <c r="H340" s="267"/>
      <c r="I340" s="258"/>
      <c r="J340" s="258"/>
      <c r="K340" s="258"/>
      <c r="L340" s="258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</row>
    <row r="341" spans="1:25" ht="20.25" customHeight="1">
      <c r="A341" s="267"/>
      <c r="B341" s="267"/>
      <c r="C341" s="267"/>
      <c r="D341" s="267"/>
      <c r="E341" s="267"/>
      <c r="F341" s="267"/>
      <c r="G341" s="267"/>
      <c r="H341" s="267"/>
      <c r="I341" s="258"/>
      <c r="J341" s="258"/>
      <c r="K341" s="258"/>
      <c r="L341" s="258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</row>
    <row r="342" spans="1:25" ht="20.25" customHeight="1">
      <c r="A342" s="267"/>
      <c r="B342" s="267"/>
      <c r="C342" s="267"/>
      <c r="D342" s="267"/>
      <c r="E342" s="267"/>
      <c r="F342" s="267"/>
      <c r="G342" s="267"/>
      <c r="H342" s="267"/>
      <c r="I342" s="258"/>
      <c r="J342" s="258"/>
      <c r="K342" s="258"/>
      <c r="L342" s="258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</row>
    <row r="343" spans="1:25" ht="20.25" customHeight="1">
      <c r="A343" s="267"/>
      <c r="B343" s="267"/>
      <c r="C343" s="267"/>
      <c r="D343" s="267"/>
      <c r="E343" s="267"/>
      <c r="F343" s="267"/>
      <c r="G343" s="267"/>
      <c r="H343" s="267"/>
      <c r="I343" s="258"/>
      <c r="J343" s="258"/>
      <c r="K343" s="258"/>
      <c r="L343" s="258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</row>
    <row r="344" spans="1:25" ht="20.25" customHeight="1">
      <c r="A344" s="267"/>
      <c r="B344" s="267"/>
      <c r="C344" s="267"/>
      <c r="D344" s="267"/>
      <c r="E344" s="267"/>
      <c r="F344" s="267"/>
      <c r="G344" s="267"/>
      <c r="H344" s="267"/>
      <c r="I344" s="258"/>
      <c r="J344" s="258"/>
      <c r="K344" s="258"/>
      <c r="L344" s="258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</row>
    <row r="345" spans="1:25" ht="20.25" customHeight="1">
      <c r="A345" s="267"/>
      <c r="B345" s="267"/>
      <c r="C345" s="267"/>
      <c r="D345" s="267"/>
      <c r="E345" s="267"/>
      <c r="F345" s="267"/>
      <c r="G345" s="267"/>
      <c r="H345" s="267"/>
      <c r="I345" s="258"/>
      <c r="J345" s="258"/>
      <c r="K345" s="258"/>
      <c r="L345" s="258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</row>
    <row r="346" spans="1:25" ht="20.25" customHeight="1">
      <c r="A346" s="267"/>
      <c r="B346" s="267"/>
      <c r="C346" s="267"/>
      <c r="D346" s="267"/>
      <c r="E346" s="267"/>
      <c r="F346" s="267"/>
      <c r="G346" s="267"/>
      <c r="H346" s="267"/>
      <c r="I346" s="258"/>
      <c r="J346" s="258"/>
      <c r="K346" s="258"/>
      <c r="L346" s="258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</row>
    <row r="347" spans="1:25" ht="20.25" customHeight="1">
      <c r="A347" s="267"/>
      <c r="B347" s="267"/>
      <c r="C347" s="267"/>
      <c r="D347" s="267"/>
      <c r="E347" s="267"/>
      <c r="F347" s="267"/>
      <c r="G347" s="267"/>
      <c r="H347" s="267"/>
      <c r="I347" s="258"/>
      <c r="J347" s="258"/>
      <c r="K347" s="258"/>
      <c r="L347" s="258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</row>
    <row r="348" spans="1:25" ht="20.25" customHeight="1">
      <c r="A348" s="267"/>
      <c r="B348" s="267"/>
      <c r="C348" s="267"/>
      <c r="D348" s="267"/>
      <c r="E348" s="267"/>
      <c r="F348" s="267"/>
      <c r="G348" s="267"/>
      <c r="H348" s="267"/>
      <c r="I348" s="258"/>
      <c r="J348" s="258"/>
      <c r="K348" s="258"/>
      <c r="L348" s="258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</row>
    <row r="349" spans="1:25" ht="20.25" customHeight="1">
      <c r="A349" s="267"/>
      <c r="B349" s="267"/>
      <c r="C349" s="267"/>
      <c r="D349" s="267"/>
      <c r="E349" s="267"/>
      <c r="F349" s="267"/>
      <c r="G349" s="267"/>
      <c r="H349" s="267"/>
      <c r="I349" s="258"/>
      <c r="J349" s="258"/>
      <c r="K349" s="258"/>
      <c r="L349" s="258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</row>
    <row r="350" spans="1:25" ht="20.25" customHeight="1">
      <c r="A350" s="267"/>
      <c r="B350" s="267"/>
      <c r="C350" s="267"/>
      <c r="D350" s="267"/>
      <c r="E350" s="267"/>
      <c r="F350" s="267"/>
      <c r="G350" s="267"/>
      <c r="H350" s="267"/>
      <c r="I350" s="258"/>
      <c r="J350" s="258"/>
      <c r="K350" s="258"/>
      <c r="L350" s="258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</row>
    <row r="351" spans="1:25" ht="20.25" customHeight="1">
      <c r="A351" s="267"/>
      <c r="B351" s="267"/>
      <c r="C351" s="267"/>
      <c r="D351" s="267"/>
      <c r="E351" s="267"/>
      <c r="F351" s="267"/>
      <c r="G351" s="267"/>
      <c r="H351" s="267"/>
      <c r="I351" s="258"/>
      <c r="J351" s="258"/>
      <c r="K351" s="258"/>
      <c r="L351" s="258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</row>
    <row r="352" spans="1:25" ht="20.25" customHeight="1">
      <c r="A352" s="267"/>
      <c r="B352" s="267"/>
      <c r="C352" s="267"/>
      <c r="D352" s="267"/>
      <c r="E352" s="267"/>
      <c r="F352" s="267"/>
      <c r="G352" s="267"/>
      <c r="H352" s="267"/>
      <c r="I352" s="258"/>
      <c r="J352" s="258"/>
      <c r="K352" s="258"/>
      <c r="L352" s="258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</row>
    <row r="353" spans="1:25" ht="20.25" customHeight="1">
      <c r="A353" s="267"/>
      <c r="B353" s="267"/>
      <c r="C353" s="267"/>
      <c r="D353" s="267"/>
      <c r="E353" s="267"/>
      <c r="F353" s="267"/>
      <c r="G353" s="267"/>
      <c r="H353" s="267"/>
      <c r="I353" s="258"/>
      <c r="J353" s="258"/>
      <c r="K353" s="258"/>
      <c r="L353" s="258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</row>
    <row r="354" spans="1:25" ht="20.25" customHeight="1">
      <c r="A354" s="267"/>
      <c r="B354" s="267"/>
      <c r="C354" s="267"/>
      <c r="D354" s="267"/>
      <c r="E354" s="267"/>
      <c r="F354" s="267"/>
      <c r="G354" s="267"/>
      <c r="H354" s="267"/>
      <c r="I354" s="258"/>
      <c r="J354" s="258"/>
      <c r="K354" s="258"/>
      <c r="L354" s="258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</row>
    <row r="355" spans="1:25" ht="20.25" customHeight="1">
      <c r="A355" s="267"/>
      <c r="B355" s="267"/>
      <c r="C355" s="267"/>
      <c r="D355" s="267"/>
      <c r="E355" s="267"/>
      <c r="F355" s="267"/>
      <c r="G355" s="267"/>
      <c r="H355" s="267"/>
      <c r="I355" s="258"/>
      <c r="J355" s="258"/>
      <c r="K355" s="258"/>
      <c r="L355" s="258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</row>
    <row r="356" spans="1:25" ht="20.25" customHeight="1">
      <c r="A356" s="267"/>
      <c r="B356" s="267"/>
      <c r="C356" s="267"/>
      <c r="D356" s="267"/>
      <c r="E356" s="267"/>
      <c r="F356" s="267"/>
      <c r="G356" s="267"/>
      <c r="H356" s="267"/>
      <c r="I356" s="258"/>
      <c r="J356" s="258"/>
      <c r="K356" s="258"/>
      <c r="L356" s="258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</row>
    <row r="357" spans="1:25" ht="20.25" customHeight="1">
      <c r="A357" s="267"/>
      <c r="B357" s="267"/>
      <c r="C357" s="267"/>
      <c r="D357" s="267"/>
      <c r="E357" s="267"/>
      <c r="F357" s="267"/>
      <c r="G357" s="267"/>
      <c r="H357" s="267"/>
      <c r="I357" s="258"/>
      <c r="J357" s="258"/>
      <c r="K357" s="258"/>
      <c r="L357" s="258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</row>
    <row r="358" spans="1:25" ht="20.25" customHeight="1">
      <c r="A358" s="267"/>
      <c r="B358" s="267"/>
      <c r="C358" s="267"/>
      <c r="D358" s="267"/>
      <c r="E358" s="267"/>
      <c r="F358" s="267"/>
      <c r="G358" s="267"/>
      <c r="H358" s="267"/>
      <c r="I358" s="258"/>
      <c r="J358" s="258"/>
      <c r="K358" s="258"/>
      <c r="L358" s="258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</row>
    <row r="359" spans="1:25" ht="20.25" customHeight="1">
      <c r="A359" s="267"/>
      <c r="B359" s="267"/>
      <c r="C359" s="267"/>
      <c r="D359" s="267"/>
      <c r="E359" s="267"/>
      <c r="F359" s="267"/>
      <c r="G359" s="267"/>
      <c r="H359" s="267"/>
      <c r="I359" s="258"/>
      <c r="J359" s="258"/>
      <c r="K359" s="258"/>
      <c r="L359" s="258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</row>
    <row r="360" spans="1:25" ht="20.25" customHeight="1">
      <c r="A360" s="267"/>
      <c r="B360" s="267"/>
      <c r="C360" s="267"/>
      <c r="D360" s="267"/>
      <c r="E360" s="267"/>
      <c r="F360" s="267"/>
      <c r="G360" s="267"/>
      <c r="H360" s="267"/>
      <c r="I360" s="258"/>
      <c r="J360" s="258"/>
      <c r="K360" s="258"/>
      <c r="L360" s="258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</row>
    <row r="361" spans="1:25" ht="20.25" customHeight="1">
      <c r="A361" s="267"/>
      <c r="B361" s="267"/>
      <c r="C361" s="267"/>
      <c r="D361" s="267"/>
      <c r="E361" s="267"/>
      <c r="F361" s="267"/>
      <c r="G361" s="267"/>
      <c r="H361" s="267"/>
      <c r="I361" s="258"/>
      <c r="J361" s="258"/>
      <c r="K361" s="258"/>
      <c r="L361" s="258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</row>
    <row r="362" spans="1:25" ht="20.25" customHeight="1">
      <c r="A362" s="267"/>
      <c r="B362" s="267"/>
      <c r="C362" s="267"/>
      <c r="D362" s="267"/>
      <c r="E362" s="267"/>
      <c r="F362" s="267"/>
      <c r="G362" s="267"/>
      <c r="H362" s="267"/>
      <c r="I362" s="258"/>
      <c r="J362" s="258"/>
      <c r="K362" s="258"/>
      <c r="L362" s="258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</row>
    <row r="363" spans="1:25" ht="20.25" customHeight="1">
      <c r="A363" s="267"/>
      <c r="B363" s="267"/>
      <c r="C363" s="267"/>
      <c r="D363" s="267"/>
      <c r="E363" s="267"/>
      <c r="F363" s="267"/>
      <c r="G363" s="267"/>
      <c r="H363" s="267"/>
      <c r="I363" s="258"/>
      <c r="J363" s="258"/>
      <c r="K363" s="258"/>
      <c r="L363" s="258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</row>
    <row r="364" spans="1:25" ht="20.25" customHeight="1">
      <c r="A364" s="267"/>
      <c r="B364" s="267"/>
      <c r="C364" s="267"/>
      <c r="D364" s="267"/>
      <c r="E364" s="267"/>
      <c r="F364" s="267"/>
      <c r="G364" s="267"/>
      <c r="H364" s="267"/>
      <c r="I364" s="258"/>
      <c r="J364" s="258"/>
      <c r="K364" s="258"/>
      <c r="L364" s="258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</row>
    <row r="365" spans="1:25" ht="20.25" customHeight="1">
      <c r="A365" s="267"/>
      <c r="B365" s="267"/>
      <c r="C365" s="267"/>
      <c r="D365" s="267"/>
      <c r="E365" s="267"/>
      <c r="F365" s="267"/>
      <c r="G365" s="267"/>
      <c r="H365" s="267"/>
      <c r="I365" s="258"/>
      <c r="J365" s="258"/>
      <c r="K365" s="258"/>
      <c r="L365" s="258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</row>
    <row r="366" spans="1:25" ht="20.25" customHeight="1">
      <c r="A366" s="267"/>
      <c r="B366" s="267"/>
      <c r="C366" s="267"/>
      <c r="D366" s="267"/>
      <c r="E366" s="267"/>
      <c r="F366" s="267"/>
      <c r="G366" s="267"/>
      <c r="H366" s="267"/>
      <c r="I366" s="258"/>
      <c r="J366" s="258"/>
      <c r="K366" s="258"/>
      <c r="L366" s="258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</row>
    <row r="367" spans="1:25" ht="20.25" customHeight="1">
      <c r="A367" s="267"/>
      <c r="B367" s="267"/>
      <c r="C367" s="267"/>
      <c r="D367" s="267"/>
      <c r="E367" s="267"/>
      <c r="F367" s="267"/>
      <c r="G367" s="267"/>
      <c r="H367" s="267"/>
      <c r="I367" s="258"/>
      <c r="J367" s="258"/>
      <c r="K367" s="258"/>
      <c r="L367" s="258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</row>
    <row r="368" spans="1:25" ht="20.25" customHeight="1">
      <c r="A368" s="267"/>
      <c r="B368" s="267"/>
      <c r="C368" s="267"/>
      <c r="D368" s="267"/>
      <c r="E368" s="267"/>
      <c r="F368" s="267"/>
      <c r="G368" s="267"/>
      <c r="H368" s="267"/>
      <c r="I368" s="258"/>
      <c r="J368" s="258"/>
      <c r="K368" s="258"/>
      <c r="L368" s="258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</row>
    <row r="369" spans="1:25" ht="20.25" customHeight="1">
      <c r="A369" s="267"/>
      <c r="B369" s="267"/>
      <c r="C369" s="267"/>
      <c r="D369" s="267"/>
      <c r="E369" s="267"/>
      <c r="F369" s="267"/>
      <c r="G369" s="267"/>
      <c r="H369" s="267"/>
      <c r="I369" s="258"/>
      <c r="J369" s="258"/>
      <c r="K369" s="258"/>
      <c r="L369" s="258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</row>
    <row r="370" spans="1:25" ht="20.25" customHeight="1">
      <c r="A370" s="267"/>
      <c r="B370" s="267"/>
      <c r="C370" s="267"/>
      <c r="D370" s="267"/>
      <c r="E370" s="267"/>
      <c r="F370" s="267"/>
      <c r="G370" s="267"/>
      <c r="H370" s="267"/>
      <c r="I370" s="258"/>
      <c r="J370" s="258"/>
      <c r="K370" s="258"/>
      <c r="L370" s="258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</row>
    <row r="371" spans="1:25" ht="20.25" customHeight="1">
      <c r="A371" s="267"/>
      <c r="B371" s="267"/>
      <c r="C371" s="267"/>
      <c r="D371" s="267"/>
      <c r="E371" s="267"/>
      <c r="F371" s="267"/>
      <c r="G371" s="267"/>
      <c r="H371" s="267"/>
      <c r="I371" s="258"/>
      <c r="J371" s="258"/>
      <c r="K371" s="258"/>
      <c r="L371" s="258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</row>
    <row r="372" spans="1:25" ht="20.25" customHeight="1">
      <c r="A372" s="267"/>
      <c r="B372" s="267"/>
      <c r="C372" s="267"/>
      <c r="D372" s="267"/>
      <c r="E372" s="267"/>
      <c r="F372" s="267"/>
      <c r="G372" s="267"/>
      <c r="H372" s="267"/>
      <c r="I372" s="258"/>
      <c r="J372" s="258"/>
      <c r="K372" s="258"/>
      <c r="L372" s="258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</row>
    <row r="373" spans="1:25" ht="20.25" customHeight="1">
      <c r="A373" s="267"/>
      <c r="B373" s="267"/>
      <c r="C373" s="267"/>
      <c r="D373" s="267"/>
      <c r="E373" s="267"/>
      <c r="F373" s="267"/>
      <c r="G373" s="267"/>
      <c r="H373" s="267"/>
      <c r="I373" s="258"/>
      <c r="J373" s="258"/>
      <c r="K373" s="258"/>
      <c r="L373" s="258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</row>
    <row r="374" spans="1:25" ht="20.25" customHeight="1">
      <c r="A374" s="267"/>
      <c r="B374" s="267"/>
      <c r="C374" s="267"/>
      <c r="D374" s="267"/>
      <c r="E374" s="267"/>
      <c r="F374" s="267"/>
      <c r="G374" s="267"/>
      <c r="H374" s="267"/>
      <c r="I374" s="258"/>
      <c r="J374" s="258"/>
      <c r="K374" s="258"/>
      <c r="L374" s="258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</row>
    <row r="375" spans="1:25" ht="20.25" customHeight="1">
      <c r="A375" s="267"/>
      <c r="B375" s="267"/>
      <c r="C375" s="267"/>
      <c r="D375" s="267"/>
      <c r="E375" s="267"/>
      <c r="F375" s="267"/>
      <c r="G375" s="267"/>
      <c r="H375" s="267"/>
      <c r="I375" s="258"/>
      <c r="J375" s="258"/>
      <c r="K375" s="258"/>
      <c r="L375" s="258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</row>
    <row r="376" spans="1:25" ht="20.25" customHeight="1">
      <c r="A376" s="267"/>
      <c r="B376" s="267"/>
      <c r="C376" s="267"/>
      <c r="D376" s="267"/>
      <c r="E376" s="267"/>
      <c r="F376" s="267"/>
      <c r="G376" s="267"/>
      <c r="H376" s="267"/>
      <c r="I376" s="258"/>
      <c r="J376" s="258"/>
      <c r="K376" s="258"/>
      <c r="L376" s="258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</row>
    <row r="377" spans="1:25" ht="20.25" customHeight="1">
      <c r="A377" s="267"/>
      <c r="B377" s="267"/>
      <c r="C377" s="267"/>
      <c r="D377" s="267"/>
      <c r="E377" s="267"/>
      <c r="F377" s="267"/>
      <c r="G377" s="267"/>
      <c r="H377" s="267"/>
      <c r="I377" s="258"/>
      <c r="J377" s="258"/>
      <c r="K377" s="258"/>
      <c r="L377" s="258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</row>
    <row r="378" spans="1:25" ht="20.25" customHeight="1">
      <c r="A378" s="267"/>
      <c r="B378" s="267"/>
      <c r="C378" s="267"/>
      <c r="D378" s="267"/>
      <c r="E378" s="267"/>
      <c r="F378" s="267"/>
      <c r="G378" s="267"/>
      <c r="H378" s="267"/>
      <c r="I378" s="258"/>
      <c r="J378" s="258"/>
      <c r="K378" s="258"/>
      <c r="L378" s="258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</row>
    <row r="379" spans="1:25" ht="20.25" customHeight="1">
      <c r="A379" s="267"/>
      <c r="B379" s="267"/>
      <c r="C379" s="267"/>
      <c r="D379" s="267"/>
      <c r="E379" s="267"/>
      <c r="F379" s="267"/>
      <c r="G379" s="267"/>
      <c r="H379" s="267"/>
      <c r="I379" s="258"/>
      <c r="J379" s="258"/>
      <c r="K379" s="258"/>
      <c r="L379" s="258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</row>
    <row r="380" spans="1:25" ht="20.25" customHeight="1">
      <c r="A380" s="267"/>
      <c r="B380" s="267"/>
      <c r="C380" s="267"/>
      <c r="D380" s="267"/>
      <c r="E380" s="267"/>
      <c r="F380" s="267"/>
      <c r="G380" s="267"/>
      <c r="H380" s="267"/>
      <c r="I380" s="258"/>
      <c r="J380" s="258"/>
      <c r="K380" s="258"/>
      <c r="L380" s="258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</row>
    <row r="381" spans="1:25" ht="20.25" customHeight="1">
      <c r="A381" s="267"/>
      <c r="B381" s="267"/>
      <c r="C381" s="267"/>
      <c r="D381" s="267"/>
      <c r="E381" s="267"/>
      <c r="F381" s="267"/>
      <c r="G381" s="267"/>
      <c r="H381" s="267"/>
      <c r="I381" s="258"/>
      <c r="J381" s="258"/>
      <c r="K381" s="258"/>
      <c r="L381" s="258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</row>
    <row r="382" spans="1:25" ht="20.25" customHeight="1">
      <c r="A382" s="267"/>
      <c r="B382" s="267"/>
      <c r="C382" s="267"/>
      <c r="D382" s="267"/>
      <c r="E382" s="267"/>
      <c r="F382" s="267"/>
      <c r="G382" s="267"/>
      <c r="H382" s="267"/>
      <c r="I382" s="258"/>
      <c r="J382" s="258"/>
      <c r="K382" s="258"/>
      <c r="L382" s="258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</row>
    <row r="383" spans="1:25" ht="20.25" customHeight="1">
      <c r="A383" s="267"/>
      <c r="B383" s="267"/>
      <c r="C383" s="267"/>
      <c r="D383" s="267"/>
      <c r="E383" s="267"/>
      <c r="F383" s="267"/>
      <c r="G383" s="267"/>
      <c r="H383" s="267"/>
      <c r="I383" s="258"/>
      <c r="J383" s="258"/>
      <c r="K383" s="258"/>
      <c r="L383" s="258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</row>
    <row r="384" spans="1:25" ht="20.25" customHeight="1">
      <c r="A384" s="267"/>
      <c r="B384" s="267"/>
      <c r="C384" s="267"/>
      <c r="D384" s="267"/>
      <c r="E384" s="267"/>
      <c r="F384" s="267"/>
      <c r="G384" s="267"/>
      <c r="H384" s="267"/>
      <c r="I384" s="258"/>
      <c r="J384" s="258"/>
      <c r="K384" s="258"/>
      <c r="L384" s="258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</row>
    <row r="385" spans="1:25" ht="20.25" customHeight="1">
      <c r="A385" s="267"/>
      <c r="B385" s="267"/>
      <c r="C385" s="267"/>
      <c r="D385" s="267"/>
      <c r="E385" s="267"/>
      <c r="F385" s="267"/>
      <c r="G385" s="267"/>
      <c r="H385" s="267"/>
      <c r="I385" s="258"/>
      <c r="J385" s="258"/>
      <c r="K385" s="258"/>
      <c r="L385" s="258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</row>
    <row r="386" spans="1:25" ht="20.25" customHeight="1">
      <c r="A386" s="267"/>
      <c r="B386" s="267"/>
      <c r="C386" s="267"/>
      <c r="D386" s="267"/>
      <c r="E386" s="267"/>
      <c r="F386" s="267"/>
      <c r="G386" s="267"/>
      <c r="H386" s="267"/>
      <c r="I386" s="258"/>
      <c r="J386" s="258"/>
      <c r="K386" s="258"/>
      <c r="L386" s="258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</row>
    <row r="387" spans="1:25" ht="20.25" customHeight="1">
      <c r="A387" s="267"/>
      <c r="B387" s="267"/>
      <c r="C387" s="267"/>
      <c r="D387" s="267"/>
      <c r="E387" s="267"/>
      <c r="F387" s="267"/>
      <c r="G387" s="267"/>
      <c r="H387" s="267"/>
      <c r="I387" s="258"/>
      <c r="J387" s="258"/>
      <c r="K387" s="258"/>
      <c r="L387" s="258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</row>
    <row r="388" spans="1:25" ht="20.25" customHeight="1">
      <c r="A388" s="267"/>
      <c r="B388" s="267"/>
      <c r="C388" s="267"/>
      <c r="D388" s="267"/>
      <c r="E388" s="267"/>
      <c r="F388" s="267"/>
      <c r="G388" s="267"/>
      <c r="H388" s="267"/>
      <c r="I388" s="258"/>
      <c r="J388" s="258"/>
      <c r="K388" s="258"/>
      <c r="L388" s="258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</row>
    <row r="389" spans="1:25" ht="20.25" customHeight="1">
      <c r="A389" s="267"/>
      <c r="B389" s="267"/>
      <c r="C389" s="267"/>
      <c r="D389" s="267"/>
      <c r="E389" s="267"/>
      <c r="F389" s="267"/>
      <c r="G389" s="267"/>
      <c r="H389" s="267"/>
      <c r="I389" s="258"/>
      <c r="J389" s="258"/>
      <c r="K389" s="258"/>
      <c r="L389" s="258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</row>
    <row r="390" spans="1:25" ht="20.25" customHeight="1">
      <c r="A390" s="267"/>
      <c r="B390" s="267"/>
      <c r="C390" s="267"/>
      <c r="D390" s="267"/>
      <c r="E390" s="267"/>
      <c r="F390" s="267"/>
      <c r="G390" s="267"/>
      <c r="H390" s="267"/>
      <c r="I390" s="258"/>
      <c r="J390" s="258"/>
      <c r="K390" s="258"/>
      <c r="L390" s="258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</row>
    <row r="391" spans="1:25" ht="20.25" customHeight="1">
      <c r="A391" s="267"/>
      <c r="B391" s="267"/>
      <c r="C391" s="267"/>
      <c r="D391" s="267"/>
      <c r="E391" s="267"/>
      <c r="F391" s="267"/>
      <c r="G391" s="267"/>
      <c r="H391" s="267"/>
      <c r="I391" s="258"/>
      <c r="J391" s="258"/>
      <c r="K391" s="258"/>
      <c r="L391" s="258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</row>
    <row r="392" spans="1:25" ht="20.25" customHeight="1">
      <c r="A392" s="267"/>
      <c r="B392" s="267"/>
      <c r="C392" s="267"/>
      <c r="D392" s="267"/>
      <c r="E392" s="267"/>
      <c r="F392" s="267"/>
      <c r="G392" s="267"/>
      <c r="H392" s="267"/>
      <c r="I392" s="258"/>
      <c r="J392" s="258"/>
      <c r="K392" s="258"/>
      <c r="L392" s="258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</row>
    <row r="393" spans="1:25" ht="20.25" customHeight="1">
      <c r="A393" s="267"/>
      <c r="B393" s="267"/>
      <c r="C393" s="267"/>
      <c r="D393" s="267"/>
      <c r="E393" s="267"/>
      <c r="F393" s="267"/>
      <c r="G393" s="267"/>
      <c r="H393" s="267"/>
      <c r="I393" s="258"/>
      <c r="J393" s="258"/>
      <c r="K393" s="258"/>
      <c r="L393" s="258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</row>
    <row r="394" spans="1:25" ht="20.25" customHeight="1">
      <c r="A394" s="267"/>
      <c r="B394" s="267"/>
      <c r="C394" s="267"/>
      <c r="D394" s="267"/>
      <c r="E394" s="267"/>
      <c r="F394" s="267"/>
      <c r="G394" s="267"/>
      <c r="H394" s="267"/>
      <c r="I394" s="258"/>
      <c r="J394" s="258"/>
      <c r="K394" s="258"/>
      <c r="L394" s="258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</row>
    <row r="395" spans="1:25" ht="20.25" customHeight="1">
      <c r="A395" s="267"/>
      <c r="B395" s="267"/>
      <c r="C395" s="267"/>
      <c r="D395" s="267"/>
      <c r="E395" s="267"/>
      <c r="F395" s="267"/>
      <c r="G395" s="267"/>
      <c r="H395" s="267"/>
      <c r="I395" s="258"/>
      <c r="J395" s="258"/>
      <c r="K395" s="258"/>
      <c r="L395" s="258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</row>
    <row r="396" spans="1:25" ht="20.25" customHeight="1">
      <c r="A396" s="267"/>
      <c r="B396" s="267"/>
      <c r="C396" s="267"/>
      <c r="D396" s="267"/>
      <c r="E396" s="267"/>
      <c r="F396" s="267"/>
      <c r="G396" s="267"/>
      <c r="H396" s="267"/>
      <c r="I396" s="258"/>
      <c r="J396" s="258"/>
      <c r="K396" s="258"/>
      <c r="L396" s="258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</row>
    <row r="397" spans="1:25" ht="20.25" customHeight="1">
      <c r="A397" s="267"/>
      <c r="B397" s="267"/>
      <c r="C397" s="267"/>
      <c r="D397" s="267"/>
      <c r="E397" s="267"/>
      <c r="F397" s="267"/>
      <c r="G397" s="267"/>
      <c r="H397" s="267"/>
      <c r="I397" s="258"/>
      <c r="J397" s="258"/>
      <c r="K397" s="258"/>
      <c r="L397" s="258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</row>
    <row r="398" spans="1:25" ht="20.25" customHeight="1">
      <c r="A398" s="267"/>
      <c r="B398" s="267"/>
      <c r="C398" s="267"/>
      <c r="D398" s="267"/>
      <c r="E398" s="267"/>
      <c r="F398" s="267"/>
      <c r="G398" s="267"/>
      <c r="H398" s="267"/>
      <c r="I398" s="258"/>
      <c r="J398" s="258"/>
      <c r="K398" s="258"/>
      <c r="L398" s="258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</row>
    <row r="399" spans="1:25" ht="20.25" customHeight="1">
      <c r="A399" s="267"/>
      <c r="B399" s="267"/>
      <c r="C399" s="267"/>
      <c r="D399" s="267"/>
      <c r="E399" s="267"/>
      <c r="F399" s="267"/>
      <c r="G399" s="267"/>
      <c r="H399" s="267"/>
      <c r="I399" s="258"/>
      <c r="J399" s="258"/>
      <c r="K399" s="258"/>
      <c r="L399" s="258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</row>
    <row r="400" spans="1:25" ht="20.25" customHeight="1">
      <c r="A400" s="267"/>
      <c r="B400" s="267"/>
      <c r="C400" s="267"/>
      <c r="D400" s="267"/>
      <c r="E400" s="267"/>
      <c r="F400" s="267"/>
      <c r="G400" s="267"/>
      <c r="H400" s="267"/>
      <c r="I400" s="258"/>
      <c r="J400" s="258"/>
      <c r="K400" s="258"/>
      <c r="L400" s="258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</row>
    <row r="401" spans="1:25" ht="20.25" customHeight="1">
      <c r="A401" s="267"/>
      <c r="B401" s="267"/>
      <c r="C401" s="267"/>
      <c r="D401" s="267"/>
      <c r="E401" s="267"/>
      <c r="F401" s="267"/>
      <c r="G401" s="267"/>
      <c r="H401" s="267"/>
      <c r="I401" s="258"/>
      <c r="J401" s="258"/>
      <c r="K401" s="258"/>
      <c r="L401" s="258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</row>
    <row r="402" spans="1:25" ht="20.25" customHeight="1">
      <c r="A402" s="267"/>
      <c r="B402" s="267"/>
      <c r="C402" s="267"/>
      <c r="D402" s="267"/>
      <c r="E402" s="267"/>
      <c r="F402" s="267"/>
      <c r="G402" s="267"/>
      <c r="H402" s="267"/>
      <c r="I402" s="258"/>
      <c r="J402" s="258"/>
      <c r="K402" s="258"/>
      <c r="L402" s="258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</row>
    <row r="403" spans="1:25" ht="20.25" customHeight="1">
      <c r="A403" s="267"/>
      <c r="B403" s="267"/>
      <c r="C403" s="267"/>
      <c r="D403" s="267"/>
      <c r="E403" s="267"/>
      <c r="F403" s="267"/>
      <c r="G403" s="267"/>
      <c r="H403" s="267"/>
      <c r="I403" s="258"/>
      <c r="J403" s="258"/>
      <c r="K403" s="258"/>
      <c r="L403" s="258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</row>
    <row r="404" spans="1:25" ht="20.25" customHeight="1">
      <c r="A404" s="267"/>
      <c r="B404" s="267"/>
      <c r="C404" s="267"/>
      <c r="D404" s="267"/>
      <c r="E404" s="267"/>
      <c r="F404" s="267"/>
      <c r="G404" s="267"/>
      <c r="H404" s="267"/>
      <c r="I404" s="258"/>
      <c r="J404" s="258"/>
      <c r="K404" s="258"/>
      <c r="L404" s="258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</row>
    <row r="405" spans="1:25" ht="20.25" customHeight="1">
      <c r="A405" s="267"/>
      <c r="B405" s="267"/>
      <c r="C405" s="267"/>
      <c r="D405" s="267"/>
      <c r="E405" s="267"/>
      <c r="F405" s="267"/>
      <c r="G405" s="267"/>
      <c r="H405" s="267"/>
      <c r="I405" s="258"/>
      <c r="J405" s="258"/>
      <c r="K405" s="258"/>
      <c r="L405" s="258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</row>
    <row r="406" spans="1:25" ht="20.25" customHeight="1">
      <c r="A406" s="267"/>
      <c r="B406" s="267"/>
      <c r="C406" s="267"/>
      <c r="D406" s="267"/>
      <c r="E406" s="267"/>
      <c r="F406" s="267"/>
      <c r="G406" s="267"/>
      <c r="H406" s="267"/>
      <c r="I406" s="258"/>
      <c r="J406" s="258"/>
      <c r="K406" s="258"/>
      <c r="L406" s="258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</row>
    <row r="407" spans="1:25" ht="20.25" customHeight="1">
      <c r="A407" s="267"/>
      <c r="B407" s="267"/>
      <c r="C407" s="267"/>
      <c r="D407" s="267"/>
      <c r="E407" s="267"/>
      <c r="F407" s="267"/>
      <c r="G407" s="267"/>
      <c r="H407" s="267"/>
      <c r="I407" s="258"/>
      <c r="J407" s="258"/>
      <c r="K407" s="258"/>
      <c r="L407" s="258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</row>
    <row r="408" spans="1:25" ht="20.25" customHeight="1">
      <c r="A408" s="267"/>
      <c r="B408" s="267"/>
      <c r="C408" s="267"/>
      <c r="D408" s="267"/>
      <c r="E408" s="267"/>
      <c r="F408" s="267"/>
      <c r="G408" s="267"/>
      <c r="H408" s="267"/>
      <c r="I408" s="258"/>
      <c r="J408" s="258"/>
      <c r="K408" s="258"/>
      <c r="L408" s="258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</row>
    <row r="409" spans="1:25" ht="20.25" customHeight="1">
      <c r="A409" s="267"/>
      <c r="B409" s="267"/>
      <c r="C409" s="267"/>
      <c r="D409" s="267"/>
      <c r="E409" s="267"/>
      <c r="F409" s="267"/>
      <c r="G409" s="267"/>
      <c r="H409" s="267"/>
      <c r="I409" s="258"/>
      <c r="J409" s="258"/>
      <c r="K409" s="258"/>
      <c r="L409" s="258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</row>
    <row r="410" spans="1:25" ht="20.25" customHeight="1">
      <c r="A410" s="267"/>
      <c r="B410" s="267"/>
      <c r="C410" s="267"/>
      <c r="D410" s="267"/>
      <c r="E410" s="267"/>
      <c r="F410" s="267"/>
      <c r="G410" s="267"/>
      <c r="H410" s="267"/>
      <c r="I410" s="258"/>
      <c r="J410" s="258"/>
      <c r="K410" s="258"/>
      <c r="L410" s="258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</row>
    <row r="411" spans="1:25" ht="20.25" customHeight="1">
      <c r="A411" s="267"/>
      <c r="B411" s="267"/>
      <c r="C411" s="267"/>
      <c r="D411" s="267"/>
      <c r="E411" s="267"/>
      <c r="F411" s="267"/>
      <c r="G411" s="267"/>
      <c r="H411" s="267"/>
      <c r="I411" s="258"/>
      <c r="J411" s="258"/>
      <c r="K411" s="258"/>
      <c r="L411" s="258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</row>
    <row r="412" spans="1:25" ht="20.25" customHeight="1">
      <c r="A412" s="267"/>
      <c r="B412" s="267"/>
      <c r="C412" s="267"/>
      <c r="D412" s="267"/>
      <c r="E412" s="267"/>
      <c r="F412" s="267"/>
      <c r="G412" s="267"/>
      <c r="H412" s="267"/>
      <c r="I412" s="258"/>
      <c r="J412" s="258"/>
      <c r="K412" s="258"/>
      <c r="L412" s="258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</row>
    <row r="413" spans="1:25" ht="20.25" customHeight="1">
      <c r="A413" s="267"/>
      <c r="B413" s="267"/>
      <c r="C413" s="267"/>
      <c r="D413" s="267"/>
      <c r="E413" s="267"/>
      <c r="F413" s="267"/>
      <c r="G413" s="267"/>
      <c r="H413" s="267"/>
      <c r="I413" s="258"/>
      <c r="J413" s="258"/>
      <c r="K413" s="258"/>
      <c r="L413" s="258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</row>
    <row r="414" spans="1:25" ht="20.25" customHeight="1">
      <c r="A414" s="267"/>
      <c r="B414" s="267"/>
      <c r="C414" s="267"/>
      <c r="D414" s="267"/>
      <c r="E414" s="267"/>
      <c r="F414" s="267"/>
      <c r="G414" s="267"/>
      <c r="H414" s="267"/>
      <c r="I414" s="258"/>
      <c r="J414" s="258"/>
      <c r="K414" s="258"/>
      <c r="L414" s="258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</row>
    <row r="415" spans="1:25" ht="20.25" customHeight="1">
      <c r="A415" s="267"/>
      <c r="B415" s="267"/>
      <c r="C415" s="267"/>
      <c r="D415" s="267"/>
      <c r="E415" s="267"/>
      <c r="F415" s="267"/>
      <c r="G415" s="267"/>
      <c r="H415" s="267"/>
      <c r="I415" s="258"/>
      <c r="J415" s="258"/>
      <c r="K415" s="258"/>
      <c r="L415" s="258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</row>
    <row r="416" spans="1:25" ht="20.25" customHeight="1">
      <c r="A416" s="267"/>
      <c r="B416" s="267"/>
      <c r="C416" s="267"/>
      <c r="D416" s="267"/>
      <c r="E416" s="267"/>
      <c r="F416" s="267"/>
      <c r="G416" s="267"/>
      <c r="H416" s="267"/>
      <c r="I416" s="258"/>
      <c r="J416" s="258"/>
      <c r="K416" s="258"/>
      <c r="L416" s="258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</row>
    <row r="417" spans="1:25" ht="20.25" customHeight="1">
      <c r="A417" s="267"/>
      <c r="B417" s="267"/>
      <c r="C417" s="267"/>
      <c r="D417" s="267"/>
      <c r="E417" s="267"/>
      <c r="F417" s="267"/>
      <c r="G417" s="267"/>
      <c r="H417" s="267"/>
      <c r="I417" s="258"/>
      <c r="J417" s="258"/>
      <c r="K417" s="258"/>
      <c r="L417" s="258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</row>
    <row r="418" spans="1:25" ht="20.25" customHeight="1">
      <c r="A418" s="267"/>
      <c r="B418" s="267"/>
      <c r="C418" s="267"/>
      <c r="D418" s="267"/>
      <c r="E418" s="267"/>
      <c r="F418" s="267"/>
      <c r="G418" s="267"/>
      <c r="H418" s="267"/>
      <c r="I418" s="258"/>
      <c r="J418" s="258"/>
      <c r="K418" s="258"/>
      <c r="L418" s="258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</row>
    <row r="419" spans="1:25" ht="20.25" customHeight="1">
      <c r="A419" s="267"/>
      <c r="B419" s="267"/>
      <c r="C419" s="267"/>
      <c r="D419" s="267"/>
      <c r="E419" s="267"/>
      <c r="F419" s="267"/>
      <c r="G419" s="267"/>
      <c r="H419" s="267"/>
      <c r="I419" s="258"/>
      <c r="J419" s="258"/>
      <c r="K419" s="258"/>
      <c r="L419" s="258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</row>
    <row r="420" spans="1:25" ht="20.25" customHeight="1">
      <c r="A420" s="267"/>
      <c r="B420" s="267"/>
      <c r="C420" s="267"/>
      <c r="D420" s="267"/>
      <c r="E420" s="267"/>
      <c r="F420" s="267"/>
      <c r="G420" s="267"/>
      <c r="H420" s="267"/>
      <c r="I420" s="258"/>
      <c r="J420" s="258"/>
      <c r="K420" s="258"/>
      <c r="L420" s="258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</row>
    <row r="421" spans="1:25" ht="20.25" customHeight="1">
      <c r="A421" s="267"/>
      <c r="B421" s="267"/>
      <c r="C421" s="267"/>
      <c r="D421" s="267"/>
      <c r="E421" s="267"/>
      <c r="F421" s="267"/>
      <c r="G421" s="267"/>
      <c r="H421" s="267"/>
      <c r="I421" s="258"/>
      <c r="J421" s="258"/>
      <c r="K421" s="258"/>
      <c r="L421" s="258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</row>
    <row r="422" spans="1:25" ht="20.25" customHeight="1">
      <c r="A422" s="267"/>
      <c r="B422" s="267"/>
      <c r="C422" s="267"/>
      <c r="D422" s="267"/>
      <c r="E422" s="267"/>
      <c r="F422" s="267"/>
      <c r="G422" s="267"/>
      <c r="H422" s="267"/>
      <c r="I422" s="258"/>
      <c r="J422" s="258"/>
      <c r="K422" s="258"/>
      <c r="L422" s="258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</row>
    <row r="423" spans="1:25" ht="20.25" customHeight="1">
      <c r="A423" s="267"/>
      <c r="B423" s="267"/>
      <c r="C423" s="267"/>
      <c r="D423" s="267"/>
      <c r="E423" s="267"/>
      <c r="F423" s="267"/>
      <c r="G423" s="267"/>
      <c r="H423" s="267"/>
      <c r="I423" s="258"/>
      <c r="J423" s="258"/>
      <c r="K423" s="258"/>
      <c r="L423" s="258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</row>
    <row r="424" spans="1:25" ht="20.25" customHeight="1">
      <c r="A424" s="267"/>
      <c r="B424" s="267"/>
      <c r="C424" s="267"/>
      <c r="D424" s="267"/>
      <c r="E424" s="267"/>
      <c r="F424" s="267"/>
      <c r="G424" s="267"/>
      <c r="H424" s="267"/>
      <c r="I424" s="258"/>
      <c r="J424" s="258"/>
      <c r="K424" s="258"/>
      <c r="L424" s="258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</row>
    <row r="425" spans="1:25" ht="20.25" customHeight="1">
      <c r="A425" s="267"/>
      <c r="B425" s="267"/>
      <c r="C425" s="267"/>
      <c r="D425" s="267"/>
      <c r="E425" s="267"/>
      <c r="F425" s="267"/>
      <c r="G425" s="267"/>
      <c r="H425" s="267"/>
      <c r="I425" s="258"/>
      <c r="J425" s="258"/>
      <c r="K425" s="258"/>
      <c r="L425" s="258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</row>
    <row r="426" spans="1:25" ht="20.25" customHeight="1">
      <c r="A426" s="267"/>
      <c r="B426" s="267"/>
      <c r="C426" s="267"/>
      <c r="D426" s="267"/>
      <c r="E426" s="267"/>
      <c r="F426" s="267"/>
      <c r="G426" s="267"/>
      <c r="H426" s="267"/>
      <c r="I426" s="258"/>
      <c r="J426" s="258"/>
      <c r="K426" s="258"/>
      <c r="L426" s="258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</row>
    <row r="427" spans="1:25" ht="20.25" customHeight="1">
      <c r="A427" s="267"/>
      <c r="B427" s="267"/>
      <c r="C427" s="267"/>
      <c r="D427" s="267"/>
      <c r="E427" s="267"/>
      <c r="F427" s="267"/>
      <c r="G427" s="267"/>
      <c r="H427" s="267"/>
      <c r="I427" s="258"/>
      <c r="J427" s="258"/>
      <c r="K427" s="258"/>
      <c r="L427" s="258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</row>
    <row r="428" spans="1:25" ht="20.25" customHeight="1">
      <c r="A428" s="267"/>
      <c r="B428" s="267"/>
      <c r="C428" s="267"/>
      <c r="D428" s="267"/>
      <c r="E428" s="267"/>
      <c r="F428" s="267"/>
      <c r="G428" s="267"/>
      <c r="H428" s="267"/>
      <c r="I428" s="258"/>
      <c r="J428" s="258"/>
      <c r="K428" s="258"/>
      <c r="L428" s="258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</row>
    <row r="429" spans="1:25" ht="20.25" customHeight="1">
      <c r="A429" s="267"/>
      <c r="B429" s="267"/>
      <c r="C429" s="267"/>
      <c r="D429" s="267"/>
      <c r="E429" s="267"/>
      <c r="F429" s="267"/>
      <c r="G429" s="267"/>
      <c r="H429" s="267"/>
      <c r="I429" s="258"/>
      <c r="J429" s="258"/>
      <c r="K429" s="258"/>
      <c r="L429" s="258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</row>
    <row r="430" spans="1:25" ht="20.25" customHeight="1">
      <c r="A430" s="267"/>
      <c r="B430" s="267"/>
      <c r="C430" s="267"/>
      <c r="D430" s="267"/>
      <c r="E430" s="267"/>
      <c r="F430" s="267"/>
      <c r="G430" s="267"/>
      <c r="H430" s="267"/>
      <c r="I430" s="258"/>
      <c r="J430" s="258"/>
      <c r="K430" s="258"/>
      <c r="L430" s="258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</row>
    <row r="431" spans="1:25" ht="20.25" customHeight="1">
      <c r="A431" s="267"/>
      <c r="B431" s="267"/>
      <c r="C431" s="267"/>
      <c r="D431" s="267"/>
      <c r="E431" s="267"/>
      <c r="F431" s="267"/>
      <c r="G431" s="267"/>
      <c r="H431" s="267"/>
      <c r="I431" s="258"/>
      <c r="J431" s="258"/>
      <c r="K431" s="258"/>
      <c r="L431" s="258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</row>
    <row r="432" spans="1:25" ht="20.25" customHeight="1">
      <c r="A432" s="267"/>
      <c r="B432" s="267"/>
      <c r="C432" s="267"/>
      <c r="D432" s="267"/>
      <c r="E432" s="267"/>
      <c r="F432" s="267"/>
      <c r="G432" s="267"/>
      <c r="H432" s="267"/>
      <c r="I432" s="258"/>
      <c r="J432" s="258"/>
      <c r="K432" s="258"/>
      <c r="L432" s="258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</row>
    <row r="433" spans="1:25" ht="20.25" customHeight="1">
      <c r="A433" s="267"/>
      <c r="B433" s="267"/>
      <c r="C433" s="267"/>
      <c r="D433" s="267"/>
      <c r="E433" s="267"/>
      <c r="F433" s="267"/>
      <c r="G433" s="267"/>
      <c r="H433" s="267"/>
      <c r="I433" s="258"/>
      <c r="J433" s="258"/>
      <c r="K433" s="258"/>
      <c r="L433" s="258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</row>
    <row r="434" spans="1:25" ht="20.25" customHeight="1">
      <c r="A434" s="267"/>
      <c r="B434" s="267"/>
      <c r="C434" s="267"/>
      <c r="D434" s="267"/>
      <c r="E434" s="267"/>
      <c r="F434" s="267"/>
      <c r="G434" s="267"/>
      <c r="H434" s="267"/>
      <c r="I434" s="258"/>
      <c r="J434" s="258"/>
      <c r="K434" s="258"/>
      <c r="L434" s="258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</row>
    <row r="435" spans="1:25" ht="20.25" customHeight="1">
      <c r="A435" s="267"/>
      <c r="B435" s="267"/>
      <c r="C435" s="267"/>
      <c r="D435" s="267"/>
      <c r="E435" s="267"/>
      <c r="F435" s="267"/>
      <c r="G435" s="267"/>
      <c r="H435" s="267"/>
      <c r="I435" s="258"/>
      <c r="J435" s="258"/>
      <c r="K435" s="258"/>
      <c r="L435" s="258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</row>
    <row r="436" spans="1:25" ht="20.25" customHeight="1">
      <c r="A436" s="267"/>
      <c r="B436" s="267"/>
      <c r="C436" s="267"/>
      <c r="D436" s="267"/>
      <c r="E436" s="267"/>
      <c r="F436" s="267"/>
      <c r="G436" s="267"/>
      <c r="H436" s="267"/>
      <c r="I436" s="258"/>
      <c r="J436" s="258"/>
      <c r="K436" s="258"/>
      <c r="L436" s="258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</row>
    <row r="437" spans="1:25" ht="20.25" customHeight="1">
      <c r="A437" s="267"/>
      <c r="B437" s="267"/>
      <c r="C437" s="267"/>
      <c r="D437" s="267"/>
      <c r="E437" s="267"/>
      <c r="F437" s="267"/>
      <c r="G437" s="267"/>
      <c r="H437" s="267"/>
      <c r="I437" s="258"/>
      <c r="J437" s="258"/>
      <c r="K437" s="258"/>
      <c r="L437" s="258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</row>
    <row r="438" spans="1:25" ht="20.25" customHeight="1">
      <c r="A438" s="267"/>
      <c r="B438" s="267"/>
      <c r="C438" s="267"/>
      <c r="D438" s="267"/>
      <c r="E438" s="267"/>
      <c r="F438" s="267"/>
      <c r="G438" s="267"/>
      <c r="H438" s="267"/>
      <c r="I438" s="258"/>
      <c r="J438" s="258"/>
      <c r="K438" s="258"/>
      <c r="L438" s="258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</row>
    <row r="439" spans="1:25" ht="20.25" customHeight="1">
      <c r="A439" s="267"/>
      <c r="B439" s="267"/>
      <c r="C439" s="267"/>
      <c r="D439" s="267"/>
      <c r="E439" s="267"/>
      <c r="F439" s="267"/>
      <c r="G439" s="267"/>
      <c r="H439" s="267"/>
      <c r="I439" s="258"/>
      <c r="J439" s="258"/>
      <c r="K439" s="258"/>
      <c r="L439" s="258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</row>
    <row r="440" spans="1:25" ht="20.25" customHeight="1">
      <c r="A440" s="267"/>
      <c r="B440" s="267"/>
      <c r="C440" s="267"/>
      <c r="D440" s="267"/>
      <c r="E440" s="267"/>
      <c r="F440" s="267"/>
      <c r="G440" s="267"/>
      <c r="H440" s="267"/>
      <c r="I440" s="258"/>
      <c r="J440" s="258"/>
      <c r="K440" s="258"/>
      <c r="L440" s="258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</row>
    <row r="441" spans="1:25" ht="20.25" customHeight="1">
      <c r="A441" s="267"/>
      <c r="B441" s="267"/>
      <c r="C441" s="267"/>
      <c r="D441" s="267"/>
      <c r="E441" s="267"/>
      <c r="F441" s="267"/>
      <c r="G441" s="267"/>
      <c r="H441" s="267"/>
      <c r="I441" s="258"/>
      <c r="J441" s="258"/>
      <c r="K441" s="258"/>
      <c r="L441" s="258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</row>
    <row r="442" spans="1:25" ht="20.25" customHeight="1">
      <c r="A442" s="267"/>
      <c r="B442" s="267"/>
      <c r="C442" s="267"/>
      <c r="D442" s="267"/>
      <c r="E442" s="267"/>
      <c r="F442" s="267"/>
      <c r="G442" s="267"/>
      <c r="H442" s="267"/>
      <c r="I442" s="258"/>
      <c r="J442" s="258"/>
      <c r="K442" s="258"/>
      <c r="L442" s="258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</row>
    <row r="443" spans="1:25" ht="20.25" customHeight="1">
      <c r="A443" s="267"/>
      <c r="B443" s="267"/>
      <c r="C443" s="267"/>
      <c r="D443" s="267"/>
      <c r="E443" s="267"/>
      <c r="F443" s="267"/>
      <c r="G443" s="267"/>
      <c r="H443" s="267"/>
      <c r="I443" s="258"/>
      <c r="J443" s="258"/>
      <c r="K443" s="258"/>
      <c r="L443" s="258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</row>
    <row r="444" spans="1:25" ht="20.25" customHeight="1">
      <c r="A444" s="267"/>
      <c r="B444" s="267"/>
      <c r="C444" s="267"/>
      <c r="D444" s="267"/>
      <c r="E444" s="267"/>
      <c r="F444" s="267"/>
      <c r="G444" s="267"/>
      <c r="H444" s="267"/>
      <c r="I444" s="258"/>
      <c r="J444" s="258"/>
      <c r="K444" s="258"/>
      <c r="L444" s="258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</row>
    <row r="445" spans="1:25" ht="20.25" customHeight="1">
      <c r="A445" s="267"/>
      <c r="B445" s="267"/>
      <c r="C445" s="267"/>
      <c r="D445" s="267"/>
      <c r="E445" s="267"/>
      <c r="F445" s="267"/>
      <c r="G445" s="267"/>
      <c r="H445" s="267"/>
      <c r="I445" s="258"/>
      <c r="J445" s="258"/>
      <c r="K445" s="258"/>
      <c r="L445" s="258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</row>
    <row r="446" spans="1:25" ht="20.25" customHeight="1">
      <c r="A446" s="267"/>
      <c r="B446" s="267"/>
      <c r="C446" s="267"/>
      <c r="D446" s="267"/>
      <c r="E446" s="267"/>
      <c r="F446" s="267"/>
      <c r="G446" s="267"/>
      <c r="H446" s="267"/>
      <c r="I446" s="258"/>
      <c r="J446" s="258"/>
      <c r="K446" s="258"/>
      <c r="L446" s="258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</row>
    <row r="447" spans="1:25" ht="20.25" customHeight="1">
      <c r="A447" s="267"/>
      <c r="B447" s="267"/>
      <c r="C447" s="267"/>
      <c r="D447" s="267"/>
      <c r="E447" s="267"/>
      <c r="F447" s="267"/>
      <c r="G447" s="267"/>
      <c r="H447" s="267"/>
      <c r="I447" s="258"/>
      <c r="J447" s="258"/>
      <c r="K447" s="258"/>
      <c r="L447" s="258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</row>
    <row r="448" spans="1:25" ht="20.25" customHeight="1">
      <c r="A448" s="267"/>
      <c r="B448" s="267"/>
      <c r="C448" s="267"/>
      <c r="D448" s="267"/>
      <c r="E448" s="267"/>
      <c r="F448" s="267"/>
      <c r="G448" s="267"/>
      <c r="H448" s="267"/>
      <c r="I448" s="258"/>
      <c r="J448" s="258"/>
      <c r="K448" s="258"/>
      <c r="L448" s="258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</row>
    <row r="449" spans="1:25" ht="20.25" customHeight="1">
      <c r="A449" s="267"/>
      <c r="B449" s="267"/>
      <c r="C449" s="267"/>
      <c r="D449" s="267"/>
      <c r="E449" s="267"/>
      <c r="F449" s="267"/>
      <c r="G449" s="267"/>
      <c r="H449" s="267"/>
      <c r="I449" s="258"/>
      <c r="J449" s="258"/>
      <c r="K449" s="258"/>
      <c r="L449" s="258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</row>
    <row r="450" spans="1:25" ht="20.25" customHeight="1">
      <c r="A450" s="267"/>
      <c r="B450" s="267"/>
      <c r="C450" s="267"/>
      <c r="D450" s="267"/>
      <c r="E450" s="267"/>
      <c r="F450" s="267"/>
      <c r="G450" s="267"/>
      <c r="H450" s="267"/>
      <c r="I450" s="258"/>
      <c r="J450" s="258"/>
      <c r="K450" s="258"/>
      <c r="L450" s="258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</row>
    <row r="451" spans="1:25" ht="20.25" customHeight="1">
      <c r="A451" s="267"/>
      <c r="B451" s="267"/>
      <c r="C451" s="267"/>
      <c r="D451" s="267"/>
      <c r="E451" s="267"/>
      <c r="F451" s="267"/>
      <c r="G451" s="267"/>
      <c r="H451" s="267"/>
      <c r="I451" s="258"/>
      <c r="J451" s="258"/>
      <c r="K451" s="258"/>
      <c r="L451" s="258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</row>
    <row r="452" spans="1:25" ht="20.25" customHeight="1">
      <c r="A452" s="267"/>
      <c r="B452" s="267"/>
      <c r="C452" s="267"/>
      <c r="D452" s="267"/>
      <c r="E452" s="267"/>
      <c r="F452" s="267"/>
      <c r="G452" s="267"/>
      <c r="H452" s="267"/>
      <c r="I452" s="258"/>
      <c r="J452" s="258"/>
      <c r="K452" s="258"/>
      <c r="L452" s="258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</row>
    <row r="453" spans="1:25" ht="20.25" customHeight="1">
      <c r="A453" s="267"/>
      <c r="B453" s="267"/>
      <c r="C453" s="267"/>
      <c r="D453" s="267"/>
      <c r="E453" s="267"/>
      <c r="F453" s="267"/>
      <c r="G453" s="267"/>
      <c r="H453" s="267"/>
      <c r="I453" s="258"/>
      <c r="J453" s="258"/>
      <c r="K453" s="258"/>
      <c r="L453" s="258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</row>
    <row r="454" spans="1:25" ht="20.25" customHeight="1">
      <c r="A454" s="267"/>
      <c r="B454" s="267"/>
      <c r="C454" s="267"/>
      <c r="D454" s="267"/>
      <c r="E454" s="267"/>
      <c r="F454" s="267"/>
      <c r="G454" s="267"/>
      <c r="H454" s="267"/>
      <c r="I454" s="258"/>
      <c r="J454" s="258"/>
      <c r="K454" s="258"/>
      <c r="L454" s="258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</row>
    <row r="455" spans="1:25" ht="20.25" customHeight="1">
      <c r="A455" s="267"/>
      <c r="B455" s="267"/>
      <c r="C455" s="267"/>
      <c r="D455" s="267"/>
      <c r="E455" s="267"/>
      <c r="F455" s="267"/>
      <c r="G455" s="267"/>
      <c r="H455" s="267"/>
      <c r="I455" s="258"/>
      <c r="J455" s="258"/>
      <c r="K455" s="258"/>
      <c r="L455" s="258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</row>
    <row r="456" spans="1:25" ht="20.25" customHeight="1">
      <c r="A456" s="267"/>
      <c r="B456" s="267"/>
      <c r="C456" s="267"/>
      <c r="D456" s="267"/>
      <c r="E456" s="267"/>
      <c r="F456" s="267"/>
      <c r="G456" s="267"/>
      <c r="H456" s="267"/>
      <c r="I456" s="258"/>
      <c r="J456" s="258"/>
      <c r="K456" s="258"/>
      <c r="L456" s="258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</row>
    <row r="457" spans="1:25" ht="20.25" customHeight="1">
      <c r="A457" s="267"/>
      <c r="B457" s="267"/>
      <c r="C457" s="267"/>
      <c r="D457" s="267"/>
      <c r="E457" s="267"/>
      <c r="F457" s="267"/>
      <c r="G457" s="267"/>
      <c r="H457" s="267"/>
      <c r="I457" s="258"/>
      <c r="J457" s="258"/>
      <c r="K457" s="258"/>
      <c r="L457" s="258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</row>
    <row r="458" spans="1:25" ht="20.25" customHeight="1">
      <c r="A458" s="267"/>
      <c r="B458" s="267"/>
      <c r="C458" s="267"/>
      <c r="D458" s="267"/>
      <c r="E458" s="267"/>
      <c r="F458" s="267"/>
      <c r="G458" s="267"/>
      <c r="H458" s="267"/>
      <c r="I458" s="258"/>
      <c r="J458" s="258"/>
      <c r="K458" s="258"/>
      <c r="L458" s="258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</row>
    <row r="459" spans="1:25" ht="20.25" customHeight="1">
      <c r="A459" s="267"/>
      <c r="B459" s="267"/>
      <c r="C459" s="267"/>
      <c r="D459" s="267"/>
      <c r="E459" s="267"/>
      <c r="F459" s="267"/>
      <c r="G459" s="267"/>
      <c r="H459" s="267"/>
      <c r="I459" s="258"/>
      <c r="J459" s="258"/>
      <c r="K459" s="258"/>
      <c r="L459" s="258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</row>
    <row r="460" spans="1:25" ht="20.25" customHeight="1">
      <c r="A460" s="267"/>
      <c r="B460" s="267"/>
      <c r="C460" s="267"/>
      <c r="D460" s="267"/>
      <c r="E460" s="267"/>
      <c r="F460" s="267"/>
      <c r="G460" s="267"/>
      <c r="H460" s="267"/>
      <c r="I460" s="258"/>
      <c r="J460" s="258"/>
      <c r="K460" s="258"/>
      <c r="L460" s="258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</row>
    <row r="461" spans="1:25" ht="20.25" customHeight="1">
      <c r="A461" s="267"/>
      <c r="B461" s="267"/>
      <c r="C461" s="267"/>
      <c r="D461" s="267"/>
      <c r="E461" s="267"/>
      <c r="F461" s="267"/>
      <c r="G461" s="267"/>
      <c r="H461" s="267"/>
      <c r="I461" s="258"/>
      <c r="J461" s="258"/>
      <c r="K461" s="258"/>
      <c r="L461" s="258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</row>
    <row r="462" spans="1:25" ht="20.25" customHeight="1">
      <c r="A462" s="267"/>
      <c r="B462" s="267"/>
      <c r="C462" s="267"/>
      <c r="D462" s="267"/>
      <c r="E462" s="267"/>
      <c r="F462" s="267"/>
      <c r="G462" s="267"/>
      <c r="H462" s="267"/>
      <c r="I462" s="258"/>
      <c r="J462" s="258"/>
      <c r="K462" s="258"/>
      <c r="L462" s="258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</row>
    <row r="463" spans="1:25" ht="20.25" customHeight="1">
      <c r="A463" s="267"/>
      <c r="B463" s="267"/>
      <c r="C463" s="267"/>
      <c r="D463" s="267"/>
      <c r="E463" s="267"/>
      <c r="F463" s="267"/>
      <c r="G463" s="267"/>
      <c r="H463" s="267"/>
      <c r="I463" s="258"/>
      <c r="J463" s="258"/>
      <c r="K463" s="258"/>
      <c r="L463" s="258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</row>
    <row r="464" spans="1:25" ht="20.25" customHeight="1">
      <c r="A464" s="267"/>
      <c r="B464" s="267"/>
      <c r="C464" s="267"/>
      <c r="D464" s="267"/>
      <c r="E464" s="267"/>
      <c r="F464" s="267"/>
      <c r="G464" s="267"/>
      <c r="H464" s="267"/>
      <c r="I464" s="258"/>
      <c r="J464" s="258"/>
      <c r="K464" s="258"/>
      <c r="L464" s="258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</row>
    <row r="465" spans="1:25" ht="20.25" customHeight="1">
      <c r="A465" s="267"/>
      <c r="B465" s="267"/>
      <c r="C465" s="267"/>
      <c r="D465" s="267"/>
      <c r="E465" s="267"/>
      <c r="F465" s="267"/>
      <c r="G465" s="267"/>
      <c r="H465" s="267"/>
      <c r="I465" s="258"/>
      <c r="J465" s="258"/>
      <c r="K465" s="258"/>
      <c r="L465" s="258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</row>
    <row r="466" spans="1:25" ht="20.25" customHeight="1">
      <c r="A466" s="267"/>
      <c r="B466" s="267"/>
      <c r="C466" s="267"/>
      <c r="D466" s="267"/>
      <c r="E466" s="267"/>
      <c r="F466" s="267"/>
      <c r="G466" s="267"/>
      <c r="H466" s="267"/>
      <c r="I466" s="258"/>
      <c r="J466" s="258"/>
      <c r="K466" s="258"/>
      <c r="L466" s="258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</row>
    <row r="467" spans="1:25" ht="20.25" customHeight="1">
      <c r="A467" s="267"/>
      <c r="B467" s="267"/>
      <c r="C467" s="267"/>
      <c r="D467" s="267"/>
      <c r="E467" s="267"/>
      <c r="F467" s="267"/>
      <c r="G467" s="267"/>
      <c r="H467" s="267"/>
      <c r="I467" s="258"/>
      <c r="J467" s="258"/>
      <c r="K467" s="258"/>
      <c r="L467" s="258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</row>
    <row r="468" spans="1:25" ht="20.25" customHeight="1">
      <c r="A468" s="267"/>
      <c r="B468" s="267"/>
      <c r="C468" s="267"/>
      <c r="D468" s="267"/>
      <c r="E468" s="267"/>
      <c r="F468" s="267"/>
      <c r="G468" s="267"/>
      <c r="H468" s="267"/>
      <c r="I468" s="258"/>
      <c r="J468" s="258"/>
      <c r="K468" s="258"/>
      <c r="L468" s="258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</row>
    <row r="469" spans="1:25" ht="20.25" customHeight="1">
      <c r="A469" s="267"/>
      <c r="B469" s="267"/>
      <c r="C469" s="267"/>
      <c r="D469" s="267"/>
      <c r="E469" s="267"/>
      <c r="F469" s="267"/>
      <c r="G469" s="267"/>
      <c r="H469" s="267"/>
      <c r="I469" s="258"/>
      <c r="J469" s="258"/>
      <c r="K469" s="258"/>
      <c r="L469" s="258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</row>
    <row r="470" spans="1:25" ht="20.25" customHeight="1">
      <c r="A470" s="267"/>
      <c r="B470" s="267"/>
      <c r="C470" s="267"/>
      <c r="D470" s="267"/>
      <c r="E470" s="267"/>
      <c r="F470" s="267"/>
      <c r="G470" s="267"/>
      <c r="H470" s="267"/>
      <c r="I470" s="258"/>
      <c r="J470" s="258"/>
      <c r="K470" s="258"/>
      <c r="L470" s="258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</row>
    <row r="471" spans="1:25" ht="20.25" customHeight="1">
      <c r="A471" s="267"/>
      <c r="B471" s="267"/>
      <c r="C471" s="267"/>
      <c r="D471" s="267"/>
      <c r="E471" s="267"/>
      <c r="F471" s="267"/>
      <c r="G471" s="267"/>
      <c r="H471" s="267"/>
      <c r="I471" s="258"/>
      <c r="J471" s="258"/>
      <c r="K471" s="258"/>
      <c r="L471" s="258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</row>
    <row r="472" spans="1:25" ht="20.25" customHeight="1">
      <c r="A472" s="267"/>
      <c r="B472" s="267"/>
      <c r="C472" s="267"/>
      <c r="D472" s="267"/>
      <c r="E472" s="267"/>
      <c r="F472" s="267"/>
      <c r="G472" s="267"/>
      <c r="H472" s="267"/>
      <c r="I472" s="258"/>
      <c r="J472" s="258"/>
      <c r="K472" s="258"/>
      <c r="L472" s="258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</row>
    <row r="473" spans="1:25" ht="20.25" customHeight="1">
      <c r="A473" s="267"/>
      <c r="B473" s="267"/>
      <c r="C473" s="267"/>
      <c r="D473" s="267"/>
      <c r="E473" s="267"/>
      <c r="F473" s="267"/>
      <c r="G473" s="267"/>
      <c r="H473" s="267"/>
      <c r="I473" s="258"/>
      <c r="J473" s="258"/>
      <c r="K473" s="258"/>
      <c r="L473" s="258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</row>
    <row r="474" spans="1:25" ht="20.25" customHeight="1">
      <c r="A474" s="267"/>
      <c r="B474" s="267"/>
      <c r="C474" s="267"/>
      <c r="D474" s="267"/>
      <c r="E474" s="267"/>
      <c r="F474" s="267"/>
      <c r="G474" s="267"/>
      <c r="H474" s="267"/>
      <c r="I474" s="258"/>
      <c r="J474" s="258"/>
      <c r="K474" s="258"/>
      <c r="L474" s="258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</row>
    <row r="475" spans="1:25" ht="20.25" customHeight="1">
      <c r="A475" s="267"/>
      <c r="B475" s="267"/>
      <c r="C475" s="267"/>
      <c r="D475" s="267"/>
      <c r="E475" s="267"/>
      <c r="F475" s="267"/>
      <c r="G475" s="267"/>
      <c r="H475" s="267"/>
      <c r="I475" s="258"/>
      <c r="J475" s="258"/>
      <c r="K475" s="258"/>
      <c r="L475" s="258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</row>
    <row r="476" spans="1:25" ht="20.25" customHeight="1">
      <c r="A476" s="267"/>
      <c r="B476" s="267"/>
      <c r="C476" s="267"/>
      <c r="D476" s="267"/>
      <c r="E476" s="267"/>
      <c r="F476" s="267"/>
      <c r="G476" s="267"/>
      <c r="H476" s="267"/>
      <c r="I476" s="258"/>
      <c r="J476" s="258"/>
      <c r="K476" s="258"/>
      <c r="L476" s="258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</row>
    <row r="477" spans="1:25" ht="20.25" customHeight="1">
      <c r="A477" s="267"/>
      <c r="B477" s="267"/>
      <c r="C477" s="267"/>
      <c r="D477" s="267"/>
      <c r="E477" s="267"/>
      <c r="F477" s="267"/>
      <c r="G477" s="267"/>
      <c r="H477" s="267"/>
      <c r="I477" s="258"/>
      <c r="J477" s="258"/>
      <c r="K477" s="258"/>
      <c r="L477" s="258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</row>
    <row r="478" spans="1:25" ht="20.25" customHeight="1">
      <c r="A478" s="267"/>
      <c r="B478" s="267"/>
      <c r="C478" s="267"/>
      <c r="D478" s="267"/>
      <c r="E478" s="267"/>
      <c r="F478" s="267"/>
      <c r="G478" s="267"/>
      <c r="H478" s="267"/>
      <c r="I478" s="258"/>
      <c r="J478" s="258"/>
      <c r="K478" s="258"/>
      <c r="L478" s="258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</row>
    <row r="479" spans="1:25" ht="20.25" customHeight="1">
      <c r="A479" s="267"/>
      <c r="B479" s="267"/>
      <c r="C479" s="267"/>
      <c r="D479" s="267"/>
      <c r="E479" s="267"/>
      <c r="F479" s="267"/>
      <c r="G479" s="267"/>
      <c r="H479" s="267"/>
      <c r="I479" s="258"/>
      <c r="J479" s="258"/>
      <c r="K479" s="258"/>
      <c r="L479" s="258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</row>
    <row r="480" spans="1:25" ht="20.25" customHeight="1">
      <c r="A480" s="267"/>
      <c r="B480" s="267"/>
      <c r="C480" s="267"/>
      <c r="D480" s="267"/>
      <c r="E480" s="267"/>
      <c r="F480" s="267"/>
      <c r="G480" s="267"/>
      <c r="H480" s="267"/>
      <c r="I480" s="258"/>
      <c r="J480" s="258"/>
      <c r="K480" s="258"/>
      <c r="L480" s="258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</row>
    <row r="481" spans="1:25" ht="20.25" customHeight="1">
      <c r="A481" s="267"/>
      <c r="B481" s="267"/>
      <c r="C481" s="267"/>
      <c r="D481" s="267"/>
      <c r="E481" s="267"/>
      <c r="F481" s="267"/>
      <c r="G481" s="267"/>
      <c r="H481" s="267"/>
      <c r="I481" s="258"/>
      <c r="J481" s="258"/>
      <c r="K481" s="258"/>
      <c r="L481" s="258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</row>
    <row r="482" spans="1:25" ht="20.25" customHeight="1">
      <c r="A482" s="267"/>
      <c r="B482" s="267"/>
      <c r="C482" s="267"/>
      <c r="D482" s="267"/>
      <c r="E482" s="267"/>
      <c r="F482" s="267"/>
      <c r="G482" s="267"/>
      <c r="H482" s="267"/>
      <c r="I482" s="258"/>
      <c r="J482" s="258"/>
      <c r="K482" s="258"/>
      <c r="L482" s="258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</row>
    <row r="483" spans="1:25" ht="20.25" customHeight="1">
      <c r="A483" s="267"/>
      <c r="B483" s="267"/>
      <c r="C483" s="267"/>
      <c r="D483" s="267"/>
      <c r="E483" s="267"/>
      <c r="F483" s="267"/>
      <c r="G483" s="267"/>
      <c r="H483" s="267"/>
      <c r="I483" s="258"/>
      <c r="J483" s="258"/>
      <c r="K483" s="258"/>
      <c r="L483" s="258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</row>
    <row r="484" spans="1:25" ht="20.25" customHeight="1">
      <c r="A484" s="267"/>
      <c r="B484" s="267"/>
      <c r="C484" s="267"/>
      <c r="D484" s="267"/>
      <c r="E484" s="267"/>
      <c r="F484" s="267"/>
      <c r="G484" s="267"/>
      <c r="H484" s="267"/>
      <c r="I484" s="258"/>
      <c r="J484" s="258"/>
      <c r="K484" s="258"/>
      <c r="L484" s="258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</row>
    <row r="485" spans="1:25" ht="20.25" customHeight="1">
      <c r="A485" s="267"/>
      <c r="B485" s="267"/>
      <c r="C485" s="267"/>
      <c r="D485" s="267"/>
      <c r="E485" s="267"/>
      <c r="F485" s="267"/>
      <c r="G485" s="267"/>
      <c r="H485" s="267"/>
      <c r="I485" s="258"/>
      <c r="J485" s="258"/>
      <c r="K485" s="258"/>
      <c r="L485" s="258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</row>
    <row r="486" spans="1:25" ht="20.25" customHeight="1">
      <c r="A486" s="267"/>
      <c r="B486" s="267"/>
      <c r="C486" s="267"/>
      <c r="D486" s="267"/>
      <c r="E486" s="267"/>
      <c r="F486" s="267"/>
      <c r="G486" s="267"/>
      <c r="H486" s="267"/>
      <c r="I486" s="258"/>
      <c r="J486" s="258"/>
      <c r="K486" s="258"/>
      <c r="L486" s="258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</row>
    <row r="487" spans="1:25" ht="20.25" customHeight="1">
      <c r="A487" s="267"/>
      <c r="B487" s="267"/>
      <c r="C487" s="267"/>
      <c r="D487" s="267"/>
      <c r="E487" s="267"/>
      <c r="F487" s="267"/>
      <c r="G487" s="267"/>
      <c r="H487" s="267"/>
      <c r="I487" s="258"/>
      <c r="J487" s="258"/>
      <c r="K487" s="258"/>
      <c r="L487" s="258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</row>
    <row r="488" spans="1:25" ht="20.25" customHeight="1">
      <c r="A488" s="267"/>
      <c r="B488" s="267"/>
      <c r="C488" s="267"/>
      <c r="D488" s="267"/>
      <c r="E488" s="267"/>
      <c r="F488" s="267"/>
      <c r="G488" s="267"/>
      <c r="H488" s="267"/>
      <c r="I488" s="258"/>
      <c r="J488" s="258"/>
      <c r="K488" s="258"/>
      <c r="L488" s="258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</row>
    <row r="489" spans="1:25" ht="20.25" customHeight="1">
      <c r="A489" s="267"/>
      <c r="B489" s="267"/>
      <c r="C489" s="267"/>
      <c r="D489" s="267"/>
      <c r="E489" s="267"/>
      <c r="F489" s="267"/>
      <c r="G489" s="267"/>
      <c r="H489" s="267"/>
      <c r="I489" s="258"/>
      <c r="J489" s="258"/>
      <c r="K489" s="258"/>
      <c r="L489" s="258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</row>
    <row r="490" spans="1:25" ht="20.25" customHeight="1">
      <c r="A490" s="267"/>
      <c r="B490" s="267"/>
      <c r="C490" s="267"/>
      <c r="D490" s="267"/>
      <c r="E490" s="267"/>
      <c r="F490" s="267"/>
      <c r="G490" s="267"/>
      <c r="H490" s="267"/>
      <c r="I490" s="258"/>
      <c r="J490" s="258"/>
      <c r="K490" s="258"/>
      <c r="L490" s="258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</row>
    <row r="491" spans="1:25" ht="20.25" customHeight="1">
      <c r="A491" s="267"/>
      <c r="B491" s="267"/>
      <c r="C491" s="267"/>
      <c r="D491" s="267"/>
      <c r="E491" s="267"/>
      <c r="F491" s="267"/>
      <c r="G491" s="267"/>
      <c r="H491" s="267"/>
      <c r="I491" s="258"/>
      <c r="J491" s="258"/>
      <c r="K491" s="258"/>
      <c r="L491" s="258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</row>
    <row r="492" spans="1:25" ht="20.25" customHeight="1">
      <c r="A492" s="267"/>
      <c r="B492" s="267"/>
      <c r="C492" s="267"/>
      <c r="D492" s="267"/>
      <c r="E492" s="267"/>
      <c r="F492" s="267"/>
      <c r="G492" s="267"/>
      <c r="H492" s="267"/>
      <c r="I492" s="258"/>
      <c r="J492" s="258"/>
      <c r="K492" s="258"/>
      <c r="L492" s="258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</row>
    <row r="493" spans="1:25" ht="20.25" customHeight="1">
      <c r="A493" s="267"/>
      <c r="B493" s="267"/>
      <c r="C493" s="267"/>
      <c r="D493" s="267"/>
      <c r="E493" s="267"/>
      <c r="F493" s="267"/>
      <c r="G493" s="267"/>
      <c r="H493" s="267"/>
      <c r="I493" s="258"/>
      <c r="J493" s="258"/>
      <c r="K493" s="258"/>
      <c r="L493" s="258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</row>
    <row r="494" spans="1:25" ht="20.25" customHeight="1">
      <c r="A494" s="267"/>
      <c r="B494" s="267"/>
      <c r="C494" s="267"/>
      <c r="D494" s="267"/>
      <c r="E494" s="267"/>
      <c r="F494" s="267"/>
      <c r="G494" s="267"/>
      <c r="H494" s="267"/>
      <c r="I494" s="258"/>
      <c r="J494" s="258"/>
      <c r="K494" s="258"/>
      <c r="L494" s="258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</row>
    <row r="495" spans="1:25" ht="20.25" customHeight="1">
      <c r="A495" s="267"/>
      <c r="B495" s="267"/>
      <c r="C495" s="267"/>
      <c r="D495" s="267"/>
      <c r="E495" s="267"/>
      <c r="F495" s="267"/>
      <c r="G495" s="267"/>
      <c r="H495" s="267"/>
      <c r="I495" s="258"/>
      <c r="J495" s="258"/>
      <c r="K495" s="258"/>
      <c r="L495" s="258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</row>
    <row r="496" spans="1:25" ht="20.25" customHeight="1">
      <c r="A496" s="267"/>
      <c r="B496" s="267"/>
      <c r="C496" s="267"/>
      <c r="D496" s="267"/>
      <c r="E496" s="267"/>
      <c r="F496" s="267"/>
      <c r="G496" s="267"/>
      <c r="H496" s="267"/>
      <c r="I496" s="258"/>
      <c r="J496" s="258"/>
      <c r="K496" s="258"/>
      <c r="L496" s="258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</row>
    <row r="497" spans="1:25" ht="20.25" customHeight="1">
      <c r="A497" s="267"/>
      <c r="B497" s="267"/>
      <c r="C497" s="267"/>
      <c r="D497" s="267"/>
      <c r="E497" s="267"/>
      <c r="F497" s="267"/>
      <c r="G497" s="267"/>
      <c r="H497" s="267"/>
      <c r="I497" s="258"/>
      <c r="J497" s="258"/>
      <c r="K497" s="258"/>
      <c r="L497" s="258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</row>
    <row r="498" spans="1:25" ht="20.25" customHeight="1">
      <c r="A498" s="267"/>
      <c r="B498" s="267"/>
      <c r="C498" s="267"/>
      <c r="D498" s="267"/>
      <c r="E498" s="267"/>
      <c r="F498" s="267"/>
      <c r="G498" s="267"/>
      <c r="H498" s="267"/>
      <c r="I498" s="258"/>
      <c r="J498" s="258"/>
      <c r="K498" s="258"/>
      <c r="L498" s="258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</row>
    <row r="499" spans="1:25" ht="20.25" customHeight="1">
      <c r="A499" s="267"/>
      <c r="B499" s="267"/>
      <c r="C499" s="267"/>
      <c r="D499" s="267"/>
      <c r="E499" s="267"/>
      <c r="F499" s="267"/>
      <c r="G499" s="267"/>
      <c r="H499" s="267"/>
      <c r="I499" s="258"/>
      <c r="J499" s="258"/>
      <c r="K499" s="258"/>
      <c r="L499" s="258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</row>
    <row r="500" spans="1:25" ht="20.25" customHeight="1">
      <c r="A500" s="267"/>
      <c r="B500" s="267"/>
      <c r="C500" s="267"/>
      <c r="D500" s="267"/>
      <c r="E500" s="267"/>
      <c r="F500" s="267"/>
      <c r="G500" s="267"/>
      <c r="H500" s="267"/>
      <c r="I500" s="258"/>
      <c r="J500" s="258"/>
      <c r="K500" s="258"/>
      <c r="L500" s="258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</row>
    <row r="501" spans="1:25" ht="20.25" customHeight="1">
      <c r="A501" s="267"/>
      <c r="B501" s="267"/>
      <c r="C501" s="267"/>
      <c r="D501" s="267"/>
      <c r="E501" s="267"/>
      <c r="F501" s="267"/>
      <c r="G501" s="267"/>
      <c r="H501" s="267"/>
      <c r="I501" s="258"/>
      <c r="J501" s="258"/>
      <c r="K501" s="258"/>
      <c r="L501" s="258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</row>
    <row r="502" spans="1:25" ht="20.25" customHeight="1">
      <c r="A502" s="267"/>
      <c r="B502" s="267"/>
      <c r="C502" s="267"/>
      <c r="D502" s="267"/>
      <c r="E502" s="267"/>
      <c r="F502" s="267"/>
      <c r="G502" s="267"/>
      <c r="H502" s="267"/>
      <c r="I502" s="258"/>
      <c r="J502" s="258"/>
      <c r="K502" s="258"/>
      <c r="L502" s="258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</row>
    <row r="503" spans="1:25" ht="20.25" customHeight="1">
      <c r="A503" s="267"/>
      <c r="B503" s="267"/>
      <c r="C503" s="267"/>
      <c r="D503" s="267"/>
      <c r="E503" s="267"/>
      <c r="F503" s="267"/>
      <c r="G503" s="267"/>
      <c r="H503" s="267"/>
      <c r="I503" s="258"/>
      <c r="J503" s="258"/>
      <c r="K503" s="258"/>
      <c r="L503" s="258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</row>
    <row r="504" spans="1:25" ht="20.25" customHeight="1">
      <c r="A504" s="267"/>
      <c r="B504" s="267"/>
      <c r="C504" s="267"/>
      <c r="D504" s="267"/>
      <c r="E504" s="267"/>
      <c r="F504" s="267"/>
      <c r="G504" s="267"/>
      <c r="H504" s="267"/>
      <c r="I504" s="258"/>
      <c r="J504" s="258"/>
      <c r="K504" s="258"/>
      <c r="L504" s="258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</row>
    <row r="505" spans="1:25" ht="20.25" customHeight="1">
      <c r="A505" s="267"/>
      <c r="B505" s="267"/>
      <c r="C505" s="267"/>
      <c r="D505" s="267"/>
      <c r="E505" s="267"/>
      <c r="F505" s="267"/>
      <c r="G505" s="267"/>
      <c r="H505" s="267"/>
      <c r="I505" s="258"/>
      <c r="J505" s="258"/>
      <c r="K505" s="258"/>
      <c r="L505" s="258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</row>
    <row r="506" spans="1:25" ht="20.25" customHeight="1">
      <c r="A506" s="267"/>
      <c r="B506" s="267"/>
      <c r="C506" s="267"/>
      <c r="D506" s="267"/>
      <c r="E506" s="267"/>
      <c r="F506" s="267"/>
      <c r="G506" s="267"/>
      <c r="H506" s="267"/>
      <c r="I506" s="258"/>
      <c r="J506" s="258"/>
      <c r="K506" s="258"/>
      <c r="L506" s="258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</row>
    <row r="507" spans="1:25" ht="20.25" customHeight="1">
      <c r="A507" s="267"/>
      <c r="B507" s="267"/>
      <c r="C507" s="267"/>
      <c r="D507" s="267"/>
      <c r="E507" s="267"/>
      <c r="F507" s="267"/>
      <c r="G507" s="267"/>
      <c r="H507" s="267"/>
      <c r="I507" s="258"/>
      <c r="J507" s="258"/>
      <c r="K507" s="258"/>
      <c r="L507" s="258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</row>
    <row r="508" spans="1:25" ht="20.25" customHeight="1">
      <c r="A508" s="267"/>
      <c r="B508" s="267"/>
      <c r="C508" s="267"/>
      <c r="D508" s="267"/>
      <c r="E508" s="267"/>
      <c r="F508" s="267"/>
      <c r="G508" s="267"/>
      <c r="H508" s="267"/>
      <c r="I508" s="258"/>
      <c r="J508" s="258"/>
      <c r="K508" s="258"/>
      <c r="L508" s="258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</row>
    <row r="509" spans="1:25" ht="20.25" customHeight="1">
      <c r="A509" s="267"/>
      <c r="B509" s="267"/>
      <c r="C509" s="267"/>
      <c r="D509" s="267"/>
      <c r="E509" s="267"/>
      <c r="F509" s="267"/>
      <c r="G509" s="267"/>
      <c r="H509" s="267"/>
      <c r="I509" s="258"/>
      <c r="J509" s="258"/>
      <c r="K509" s="258"/>
      <c r="L509" s="258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</row>
    <row r="510" spans="1:25" ht="20.25" customHeight="1">
      <c r="A510" s="267"/>
      <c r="B510" s="267"/>
      <c r="C510" s="267"/>
      <c r="D510" s="267"/>
      <c r="E510" s="267"/>
      <c r="F510" s="267"/>
      <c r="G510" s="267"/>
      <c r="H510" s="267"/>
      <c r="I510" s="258"/>
      <c r="J510" s="258"/>
      <c r="K510" s="258"/>
      <c r="L510" s="258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</row>
    <row r="511" spans="1:25" ht="20.25" customHeight="1">
      <c r="A511" s="267"/>
      <c r="B511" s="267"/>
      <c r="C511" s="267"/>
      <c r="D511" s="267"/>
      <c r="E511" s="267"/>
      <c r="F511" s="267"/>
      <c r="G511" s="267"/>
      <c r="H511" s="267"/>
      <c r="I511" s="258"/>
      <c r="J511" s="258"/>
      <c r="K511" s="258"/>
      <c r="L511" s="258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</row>
    <row r="512" spans="1:25" ht="20.25" customHeight="1">
      <c r="A512" s="267"/>
      <c r="B512" s="267"/>
      <c r="C512" s="267"/>
      <c r="D512" s="267"/>
      <c r="E512" s="267"/>
      <c r="F512" s="267"/>
      <c r="G512" s="267"/>
      <c r="H512" s="267"/>
      <c r="I512" s="258"/>
      <c r="J512" s="258"/>
      <c r="K512" s="258"/>
      <c r="L512" s="258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</row>
    <row r="513" spans="1:25" ht="20.25" customHeight="1">
      <c r="A513" s="267"/>
      <c r="B513" s="267"/>
      <c r="C513" s="267"/>
      <c r="D513" s="267"/>
      <c r="E513" s="267"/>
      <c r="F513" s="267"/>
      <c r="G513" s="267"/>
      <c r="H513" s="267"/>
      <c r="I513" s="258"/>
      <c r="J513" s="258"/>
      <c r="K513" s="258"/>
      <c r="L513" s="258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</row>
    <row r="514" spans="1:25" ht="20.25" customHeight="1">
      <c r="A514" s="267"/>
      <c r="B514" s="267"/>
      <c r="C514" s="267"/>
      <c r="D514" s="267"/>
      <c r="E514" s="267"/>
      <c r="F514" s="267"/>
      <c r="G514" s="267"/>
      <c r="H514" s="267"/>
      <c r="I514" s="258"/>
      <c r="J514" s="258"/>
      <c r="K514" s="258"/>
      <c r="L514" s="258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</row>
    <row r="515" spans="1:25" ht="20.25" customHeight="1">
      <c r="A515" s="267"/>
      <c r="B515" s="267"/>
      <c r="C515" s="267"/>
      <c r="D515" s="267"/>
      <c r="E515" s="267"/>
      <c r="F515" s="267"/>
      <c r="G515" s="267"/>
      <c r="H515" s="267"/>
      <c r="I515" s="258"/>
      <c r="J515" s="258"/>
      <c r="K515" s="258"/>
      <c r="L515" s="258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</row>
    <row r="516" spans="1:25" ht="20.25" customHeight="1">
      <c r="A516" s="267"/>
      <c r="B516" s="267"/>
      <c r="C516" s="267"/>
      <c r="D516" s="267"/>
      <c r="E516" s="267"/>
      <c r="F516" s="267"/>
      <c r="G516" s="267"/>
      <c r="H516" s="267"/>
      <c r="I516" s="258"/>
      <c r="J516" s="258"/>
      <c r="K516" s="258"/>
      <c r="L516" s="258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</row>
    <row r="517" spans="1:25" ht="20.25" customHeight="1">
      <c r="A517" s="267"/>
      <c r="B517" s="267"/>
      <c r="C517" s="267"/>
      <c r="D517" s="267"/>
      <c r="E517" s="267"/>
      <c r="F517" s="267"/>
      <c r="G517" s="267"/>
      <c r="H517" s="267"/>
      <c r="I517" s="258"/>
      <c r="J517" s="258"/>
      <c r="K517" s="258"/>
      <c r="L517" s="258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</row>
    <row r="518" spans="1:25" ht="20.25" customHeight="1">
      <c r="A518" s="267"/>
      <c r="B518" s="267"/>
      <c r="C518" s="267"/>
      <c r="D518" s="267"/>
      <c r="E518" s="267"/>
      <c r="F518" s="267"/>
      <c r="G518" s="267"/>
      <c r="H518" s="267"/>
      <c r="I518" s="258"/>
      <c r="J518" s="258"/>
      <c r="K518" s="258"/>
      <c r="L518" s="258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</row>
    <row r="519" spans="1:25" ht="20.25" customHeight="1">
      <c r="A519" s="267"/>
      <c r="B519" s="267"/>
      <c r="C519" s="267"/>
      <c r="D519" s="267"/>
      <c r="E519" s="267"/>
      <c r="F519" s="267"/>
      <c r="G519" s="267"/>
      <c r="H519" s="267"/>
      <c r="I519" s="258"/>
      <c r="J519" s="258"/>
      <c r="K519" s="258"/>
      <c r="L519" s="258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</row>
    <row r="520" spans="1:25" ht="20.25" customHeight="1">
      <c r="A520" s="267"/>
      <c r="B520" s="267"/>
      <c r="C520" s="267"/>
      <c r="D520" s="267"/>
      <c r="E520" s="267"/>
      <c r="F520" s="267"/>
      <c r="G520" s="267"/>
      <c r="H520" s="267"/>
      <c r="I520" s="258"/>
      <c r="J520" s="258"/>
      <c r="K520" s="258"/>
      <c r="L520" s="258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</row>
    <row r="521" spans="1:25" ht="20.25" customHeight="1">
      <c r="A521" s="267"/>
      <c r="B521" s="267"/>
      <c r="C521" s="267"/>
      <c r="D521" s="267"/>
      <c r="E521" s="267"/>
      <c r="F521" s="267"/>
      <c r="G521" s="267"/>
      <c r="H521" s="267"/>
      <c r="I521" s="258"/>
      <c r="J521" s="258"/>
      <c r="K521" s="258"/>
      <c r="L521" s="258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</row>
    <row r="522" spans="1:25" ht="20.25" customHeight="1">
      <c r="A522" s="267"/>
      <c r="B522" s="267"/>
      <c r="C522" s="267"/>
      <c r="D522" s="267"/>
      <c r="E522" s="267"/>
      <c r="F522" s="267"/>
      <c r="G522" s="267"/>
      <c r="H522" s="267"/>
      <c r="I522" s="258"/>
      <c r="J522" s="258"/>
      <c r="K522" s="258"/>
      <c r="L522" s="258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</row>
    <row r="523" spans="1:25" ht="20.25" customHeight="1">
      <c r="A523" s="267"/>
      <c r="B523" s="267"/>
      <c r="C523" s="267"/>
      <c r="D523" s="267"/>
      <c r="E523" s="267"/>
      <c r="F523" s="267"/>
      <c r="G523" s="267"/>
      <c r="H523" s="267"/>
      <c r="I523" s="258"/>
      <c r="J523" s="258"/>
      <c r="K523" s="258"/>
      <c r="L523" s="258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</row>
    <row r="524" spans="1:25" ht="20.25" customHeight="1">
      <c r="A524" s="267"/>
      <c r="B524" s="267"/>
      <c r="C524" s="267"/>
      <c r="D524" s="267"/>
      <c r="E524" s="267"/>
      <c r="F524" s="267"/>
      <c r="G524" s="267"/>
      <c r="H524" s="267"/>
      <c r="I524" s="258"/>
      <c r="J524" s="258"/>
      <c r="K524" s="258"/>
      <c r="L524" s="258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</row>
    <row r="525" spans="1:25" ht="20.25" customHeight="1">
      <c r="A525" s="267"/>
      <c r="B525" s="267"/>
      <c r="C525" s="267"/>
      <c r="D525" s="267"/>
      <c r="E525" s="267"/>
      <c r="F525" s="267"/>
      <c r="G525" s="267"/>
      <c r="H525" s="267"/>
      <c r="I525" s="258"/>
      <c r="J525" s="258"/>
      <c r="K525" s="258"/>
      <c r="L525" s="258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</row>
    <row r="526" spans="1:25" ht="20.25" customHeight="1">
      <c r="A526" s="267"/>
      <c r="B526" s="267"/>
      <c r="C526" s="267"/>
      <c r="D526" s="267"/>
      <c r="E526" s="267"/>
      <c r="F526" s="267"/>
      <c r="G526" s="267"/>
      <c r="H526" s="267"/>
      <c r="I526" s="258"/>
      <c r="J526" s="258"/>
      <c r="K526" s="258"/>
      <c r="L526" s="258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</row>
    <row r="527" spans="1:25" ht="20.25" customHeight="1">
      <c r="A527" s="267"/>
      <c r="B527" s="267"/>
      <c r="C527" s="267"/>
      <c r="D527" s="267"/>
      <c r="E527" s="267"/>
      <c r="F527" s="267"/>
      <c r="G527" s="267"/>
      <c r="H527" s="267"/>
      <c r="I527" s="258"/>
      <c r="J527" s="258"/>
      <c r="K527" s="258"/>
      <c r="L527" s="258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</row>
    <row r="528" spans="1:25" ht="20.25" customHeight="1">
      <c r="A528" s="267"/>
      <c r="B528" s="267"/>
      <c r="C528" s="267"/>
      <c r="D528" s="267"/>
      <c r="E528" s="267"/>
      <c r="F528" s="267"/>
      <c r="G528" s="267"/>
      <c r="H528" s="267"/>
      <c r="I528" s="258"/>
      <c r="J528" s="258"/>
      <c r="K528" s="258"/>
      <c r="L528" s="258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</row>
    <row r="529" spans="1:25" ht="20.25" customHeight="1">
      <c r="A529" s="267"/>
      <c r="B529" s="267"/>
      <c r="C529" s="267"/>
      <c r="D529" s="267"/>
      <c r="E529" s="267"/>
      <c r="F529" s="267"/>
      <c r="G529" s="267"/>
      <c r="H529" s="267"/>
      <c r="I529" s="258"/>
      <c r="J529" s="258"/>
      <c r="K529" s="258"/>
      <c r="L529" s="258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</row>
    <row r="530" spans="1:25" ht="20.25" customHeight="1">
      <c r="A530" s="267"/>
      <c r="B530" s="267"/>
      <c r="C530" s="267"/>
      <c r="D530" s="267"/>
      <c r="E530" s="267"/>
      <c r="F530" s="267"/>
      <c r="G530" s="267"/>
      <c r="H530" s="267"/>
      <c r="I530" s="258"/>
      <c r="J530" s="258"/>
      <c r="K530" s="258"/>
      <c r="L530" s="258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</row>
    <row r="531" spans="1:25" ht="20.25" customHeight="1">
      <c r="A531" s="267"/>
      <c r="B531" s="267"/>
      <c r="C531" s="267"/>
      <c r="D531" s="267"/>
      <c r="E531" s="267"/>
      <c r="F531" s="267"/>
      <c r="G531" s="267"/>
      <c r="H531" s="267"/>
      <c r="I531" s="258"/>
      <c r="J531" s="258"/>
      <c r="K531" s="258"/>
      <c r="L531" s="258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</row>
    <row r="532" spans="1:25" ht="20.25" customHeight="1">
      <c r="A532" s="267"/>
      <c r="B532" s="267"/>
      <c r="C532" s="267"/>
      <c r="D532" s="267"/>
      <c r="E532" s="267"/>
      <c r="F532" s="267"/>
      <c r="G532" s="267"/>
      <c r="H532" s="267"/>
      <c r="I532" s="258"/>
      <c r="J532" s="258"/>
      <c r="K532" s="258"/>
      <c r="L532" s="258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</row>
    <row r="533" spans="1:25" ht="20.25" customHeight="1">
      <c r="A533" s="267"/>
      <c r="B533" s="267"/>
      <c r="C533" s="267"/>
      <c r="D533" s="267"/>
      <c r="E533" s="267"/>
      <c r="F533" s="267"/>
      <c r="G533" s="267"/>
      <c r="H533" s="267"/>
      <c r="I533" s="258"/>
      <c r="J533" s="258"/>
      <c r="K533" s="258"/>
      <c r="L533" s="258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</row>
    <row r="534" spans="1:25" ht="20.25" customHeight="1">
      <c r="A534" s="267"/>
      <c r="B534" s="267"/>
      <c r="C534" s="267"/>
      <c r="D534" s="267"/>
      <c r="E534" s="267"/>
      <c r="F534" s="267"/>
      <c r="G534" s="267"/>
      <c r="H534" s="267"/>
      <c r="I534" s="258"/>
      <c r="J534" s="258"/>
      <c r="K534" s="258"/>
      <c r="L534" s="258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</row>
    <row r="535" spans="1:25" ht="20.25" customHeight="1">
      <c r="A535" s="267"/>
      <c r="B535" s="267"/>
      <c r="C535" s="267"/>
      <c r="D535" s="267"/>
      <c r="E535" s="267"/>
      <c r="F535" s="267"/>
      <c r="G535" s="267"/>
      <c r="H535" s="267"/>
      <c r="I535" s="258"/>
      <c r="J535" s="258"/>
      <c r="K535" s="258"/>
      <c r="L535" s="258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</row>
    <row r="536" spans="1:25" ht="20.25" customHeight="1">
      <c r="A536" s="267"/>
      <c r="B536" s="267"/>
      <c r="C536" s="267"/>
      <c r="D536" s="267"/>
      <c r="E536" s="267"/>
      <c r="F536" s="267"/>
      <c r="G536" s="267"/>
      <c r="H536" s="267"/>
      <c r="I536" s="258"/>
      <c r="J536" s="258"/>
      <c r="K536" s="258"/>
      <c r="L536" s="258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</row>
    <row r="537" spans="1:25" ht="20.25" customHeight="1">
      <c r="A537" s="267"/>
      <c r="B537" s="267"/>
      <c r="C537" s="267"/>
      <c r="D537" s="267"/>
      <c r="E537" s="267"/>
      <c r="F537" s="267"/>
      <c r="G537" s="267"/>
      <c r="H537" s="267"/>
      <c r="I537" s="258"/>
      <c r="J537" s="258"/>
      <c r="K537" s="258"/>
      <c r="L537" s="258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</row>
    <row r="538" spans="1:25" ht="20.25" customHeight="1">
      <c r="A538" s="267"/>
      <c r="B538" s="267"/>
      <c r="C538" s="267"/>
      <c r="D538" s="267"/>
      <c r="E538" s="267"/>
      <c r="F538" s="267"/>
      <c r="G538" s="267"/>
      <c r="H538" s="267"/>
      <c r="I538" s="258"/>
      <c r="J538" s="258"/>
      <c r="K538" s="258"/>
      <c r="L538" s="258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</row>
    <row r="539" spans="1:25" ht="20.25" customHeight="1">
      <c r="A539" s="267"/>
      <c r="B539" s="267"/>
      <c r="C539" s="267"/>
      <c r="D539" s="267"/>
      <c r="E539" s="267"/>
      <c r="F539" s="267"/>
      <c r="G539" s="267"/>
      <c r="H539" s="267"/>
      <c r="I539" s="258"/>
      <c r="J539" s="258"/>
      <c r="K539" s="258"/>
      <c r="L539" s="258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</row>
    <row r="540" spans="1:25" ht="20.25" customHeight="1">
      <c r="A540" s="267"/>
      <c r="B540" s="267"/>
      <c r="C540" s="267"/>
      <c r="D540" s="267"/>
      <c r="E540" s="267"/>
      <c r="F540" s="267"/>
      <c r="G540" s="267"/>
      <c r="H540" s="267"/>
      <c r="I540" s="258"/>
      <c r="J540" s="258"/>
      <c r="K540" s="258"/>
      <c r="L540" s="258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</row>
    <row r="541" spans="1:25" ht="20.25" customHeight="1">
      <c r="A541" s="267"/>
      <c r="B541" s="267"/>
      <c r="C541" s="267"/>
      <c r="D541" s="267"/>
      <c r="E541" s="267"/>
      <c r="F541" s="267"/>
      <c r="G541" s="267"/>
      <c r="H541" s="267"/>
      <c r="I541" s="258"/>
      <c r="J541" s="258"/>
      <c r="K541" s="258"/>
      <c r="L541" s="258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</row>
    <row r="542" spans="1:25" ht="20.25" customHeight="1">
      <c r="A542" s="267"/>
      <c r="B542" s="267"/>
      <c r="C542" s="267"/>
      <c r="D542" s="267"/>
      <c r="E542" s="267"/>
      <c r="F542" s="267"/>
      <c r="G542" s="267"/>
      <c r="H542" s="267"/>
      <c r="I542" s="258"/>
      <c r="J542" s="258"/>
      <c r="K542" s="258"/>
      <c r="L542" s="258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</row>
    <row r="543" spans="1:25" ht="20.25" customHeight="1">
      <c r="A543" s="267"/>
      <c r="B543" s="267"/>
      <c r="C543" s="267"/>
      <c r="D543" s="267"/>
      <c r="E543" s="267"/>
      <c r="F543" s="267"/>
      <c r="G543" s="267"/>
      <c r="H543" s="267"/>
      <c r="I543" s="258"/>
      <c r="J543" s="258"/>
      <c r="K543" s="258"/>
      <c r="L543" s="258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</row>
    <row r="544" spans="1:25" ht="20.25" customHeight="1">
      <c r="A544" s="267"/>
      <c r="B544" s="267"/>
      <c r="C544" s="267"/>
      <c r="D544" s="267"/>
      <c r="E544" s="267"/>
      <c r="F544" s="267"/>
      <c r="G544" s="267"/>
      <c r="H544" s="267"/>
      <c r="I544" s="258"/>
      <c r="J544" s="258"/>
      <c r="K544" s="258"/>
      <c r="L544" s="258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</row>
    <row r="545" spans="1:25" ht="20.25" customHeight="1">
      <c r="A545" s="267"/>
      <c r="B545" s="267"/>
      <c r="C545" s="267"/>
      <c r="D545" s="267"/>
      <c r="E545" s="267"/>
      <c r="F545" s="267"/>
      <c r="G545" s="267"/>
      <c r="H545" s="267"/>
      <c r="I545" s="258"/>
      <c r="J545" s="258"/>
      <c r="K545" s="258"/>
      <c r="L545" s="258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</row>
    <row r="546" spans="1:25" ht="20.25" customHeight="1">
      <c r="A546" s="267"/>
      <c r="B546" s="267"/>
      <c r="C546" s="267"/>
      <c r="D546" s="267"/>
      <c r="E546" s="267"/>
      <c r="F546" s="267"/>
      <c r="G546" s="267"/>
      <c r="H546" s="267"/>
      <c r="I546" s="258"/>
      <c r="J546" s="258"/>
      <c r="K546" s="258"/>
      <c r="L546" s="258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</row>
    <row r="547" spans="1:25" ht="20.25" customHeight="1">
      <c r="A547" s="267"/>
      <c r="B547" s="267"/>
      <c r="C547" s="267"/>
      <c r="D547" s="267"/>
      <c r="E547" s="267"/>
      <c r="F547" s="267"/>
      <c r="G547" s="267"/>
      <c r="H547" s="267"/>
      <c r="I547" s="258"/>
      <c r="J547" s="258"/>
      <c r="K547" s="258"/>
      <c r="L547" s="258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</row>
    <row r="548" spans="1:25" ht="20.25" customHeight="1">
      <c r="A548" s="267"/>
      <c r="B548" s="267"/>
      <c r="C548" s="267"/>
      <c r="D548" s="267"/>
      <c r="E548" s="267"/>
      <c r="F548" s="267"/>
      <c r="G548" s="267"/>
      <c r="H548" s="267"/>
      <c r="I548" s="258"/>
      <c r="J548" s="258"/>
      <c r="K548" s="258"/>
      <c r="L548" s="258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</row>
    <row r="549" spans="1:25" ht="20.25" customHeight="1">
      <c r="A549" s="267"/>
      <c r="B549" s="267"/>
      <c r="C549" s="267"/>
      <c r="D549" s="267"/>
      <c r="E549" s="267"/>
      <c r="F549" s="267"/>
      <c r="G549" s="267"/>
      <c r="H549" s="267"/>
      <c r="I549" s="258"/>
      <c r="J549" s="258"/>
      <c r="K549" s="258"/>
      <c r="L549" s="258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</row>
    <row r="550" spans="1:25" ht="20.25" customHeight="1">
      <c r="A550" s="267"/>
      <c r="B550" s="267"/>
      <c r="C550" s="267"/>
      <c r="D550" s="267"/>
      <c r="E550" s="267"/>
      <c r="F550" s="267"/>
      <c r="G550" s="267"/>
      <c r="H550" s="267"/>
      <c r="I550" s="258"/>
      <c r="J550" s="258"/>
      <c r="K550" s="258"/>
      <c r="L550" s="258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</row>
    <row r="551" spans="1:25" ht="20.25" customHeight="1">
      <c r="A551" s="267"/>
      <c r="B551" s="267"/>
      <c r="C551" s="267"/>
      <c r="D551" s="267"/>
      <c r="E551" s="267"/>
      <c r="F551" s="267"/>
      <c r="G551" s="267"/>
      <c r="H551" s="267"/>
      <c r="I551" s="258"/>
      <c r="J551" s="258"/>
      <c r="K551" s="258"/>
      <c r="L551" s="258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</row>
    <row r="552" spans="1:25" ht="20.25" customHeight="1">
      <c r="A552" s="267"/>
      <c r="B552" s="267"/>
      <c r="C552" s="267"/>
      <c r="D552" s="267"/>
      <c r="E552" s="267"/>
      <c r="F552" s="267"/>
      <c r="G552" s="267"/>
      <c r="H552" s="267"/>
      <c r="I552" s="258"/>
      <c r="J552" s="258"/>
      <c r="K552" s="258"/>
      <c r="L552" s="258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</row>
    <row r="553" spans="1:25" ht="20.25" customHeight="1">
      <c r="A553" s="267"/>
      <c r="B553" s="267"/>
      <c r="C553" s="267"/>
      <c r="D553" s="267"/>
      <c r="E553" s="267"/>
      <c r="F553" s="267"/>
      <c r="G553" s="267"/>
      <c r="H553" s="267"/>
      <c r="I553" s="258"/>
      <c r="J553" s="258"/>
      <c r="K553" s="258"/>
      <c r="L553" s="258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</row>
    <row r="554" spans="1:25" ht="20.25" customHeight="1">
      <c r="A554" s="267"/>
      <c r="B554" s="267"/>
      <c r="C554" s="267"/>
      <c r="D554" s="267"/>
      <c r="E554" s="267"/>
      <c r="F554" s="267"/>
      <c r="G554" s="267"/>
      <c r="H554" s="267"/>
      <c r="I554" s="258"/>
      <c r="J554" s="258"/>
      <c r="K554" s="258"/>
      <c r="L554" s="258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</row>
    <row r="555" spans="1:25" ht="20.25" customHeight="1">
      <c r="A555" s="267"/>
      <c r="B555" s="267"/>
      <c r="C555" s="267"/>
      <c r="D555" s="267"/>
      <c r="E555" s="267"/>
      <c r="F555" s="267"/>
      <c r="G555" s="267"/>
      <c r="H555" s="267"/>
      <c r="I555" s="258"/>
      <c r="J555" s="258"/>
      <c r="K555" s="258"/>
      <c r="L555" s="258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</row>
    <row r="556" spans="1:25" ht="20.25" customHeight="1">
      <c r="A556" s="267"/>
      <c r="B556" s="267"/>
      <c r="C556" s="267"/>
      <c r="D556" s="267"/>
      <c r="E556" s="267"/>
      <c r="F556" s="267"/>
      <c r="G556" s="267"/>
      <c r="H556" s="267"/>
      <c r="I556" s="258"/>
      <c r="J556" s="258"/>
      <c r="K556" s="258"/>
      <c r="L556" s="258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</row>
    <row r="557" spans="1:25" ht="20.25" customHeight="1">
      <c r="A557" s="267"/>
      <c r="B557" s="267"/>
      <c r="C557" s="267"/>
      <c r="D557" s="267"/>
      <c r="E557" s="267"/>
      <c r="F557" s="267"/>
      <c r="G557" s="267"/>
      <c r="H557" s="267"/>
      <c r="I557" s="258"/>
      <c r="J557" s="258"/>
      <c r="K557" s="258"/>
      <c r="L557" s="258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</row>
    <row r="558" spans="1:25" ht="20.25" customHeight="1">
      <c r="A558" s="267"/>
      <c r="B558" s="267"/>
      <c r="C558" s="267"/>
      <c r="D558" s="267"/>
      <c r="E558" s="267"/>
      <c r="F558" s="267"/>
      <c r="G558" s="267"/>
      <c r="H558" s="267"/>
      <c r="I558" s="258"/>
      <c r="J558" s="258"/>
      <c r="K558" s="258"/>
      <c r="L558" s="258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</row>
    <row r="559" spans="1:25" ht="20.25" customHeight="1">
      <c r="A559" s="267"/>
      <c r="B559" s="267"/>
      <c r="C559" s="267"/>
      <c r="D559" s="267"/>
      <c r="E559" s="267"/>
      <c r="F559" s="267"/>
      <c r="G559" s="267"/>
      <c r="H559" s="267"/>
      <c r="I559" s="258"/>
      <c r="J559" s="258"/>
      <c r="K559" s="258"/>
      <c r="L559" s="258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</row>
    <row r="560" spans="1:25" ht="20.25" customHeight="1">
      <c r="A560" s="267"/>
      <c r="B560" s="267"/>
      <c r="C560" s="267"/>
      <c r="D560" s="267"/>
      <c r="E560" s="267"/>
      <c r="F560" s="267"/>
      <c r="G560" s="267"/>
      <c r="H560" s="267"/>
      <c r="I560" s="258"/>
      <c r="J560" s="258"/>
      <c r="K560" s="258"/>
      <c r="L560" s="258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</row>
    <row r="561" spans="1:25" ht="20.25" customHeight="1">
      <c r="A561" s="267"/>
      <c r="B561" s="267"/>
      <c r="C561" s="267"/>
      <c r="D561" s="267"/>
      <c r="E561" s="267"/>
      <c r="F561" s="267"/>
      <c r="G561" s="267"/>
      <c r="H561" s="267"/>
      <c r="I561" s="258"/>
      <c r="J561" s="258"/>
      <c r="K561" s="258"/>
      <c r="L561" s="258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</row>
    <row r="562" spans="1:25" ht="20.25" customHeight="1">
      <c r="A562" s="267"/>
      <c r="B562" s="267"/>
      <c r="C562" s="267"/>
      <c r="D562" s="267"/>
      <c r="E562" s="267"/>
      <c r="F562" s="267"/>
      <c r="G562" s="267"/>
      <c r="H562" s="267"/>
      <c r="I562" s="258"/>
      <c r="J562" s="258"/>
      <c r="K562" s="258"/>
      <c r="L562" s="258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</row>
    <row r="563" spans="1:25" ht="20.25" customHeight="1">
      <c r="A563" s="267"/>
      <c r="B563" s="267"/>
      <c r="C563" s="267"/>
      <c r="D563" s="267"/>
      <c r="E563" s="267"/>
      <c r="F563" s="267"/>
      <c r="G563" s="267"/>
      <c r="H563" s="267"/>
      <c r="I563" s="258"/>
      <c r="J563" s="258"/>
      <c r="K563" s="258"/>
      <c r="L563" s="258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</row>
    <row r="564" spans="1:25" ht="20.25" customHeight="1">
      <c r="A564" s="267"/>
      <c r="B564" s="267"/>
      <c r="C564" s="267"/>
      <c r="D564" s="267"/>
      <c r="E564" s="267"/>
      <c r="F564" s="267"/>
      <c r="G564" s="267"/>
      <c r="H564" s="267"/>
      <c r="I564" s="258"/>
      <c r="J564" s="258"/>
      <c r="K564" s="258"/>
      <c r="L564" s="258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</row>
    <row r="565" spans="1:25" ht="20.25" customHeight="1">
      <c r="A565" s="267"/>
      <c r="B565" s="267"/>
      <c r="C565" s="267"/>
      <c r="D565" s="267"/>
      <c r="E565" s="267"/>
      <c r="F565" s="267"/>
      <c r="G565" s="267"/>
      <c r="H565" s="267"/>
      <c r="I565" s="258"/>
      <c r="J565" s="258"/>
      <c r="K565" s="258"/>
      <c r="L565" s="258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</row>
    <row r="566" spans="1:25" ht="20.25" customHeight="1">
      <c r="A566" s="267"/>
      <c r="B566" s="267"/>
      <c r="C566" s="267"/>
      <c r="D566" s="267"/>
      <c r="E566" s="267"/>
      <c r="F566" s="267"/>
      <c r="G566" s="267"/>
      <c r="H566" s="267"/>
      <c r="I566" s="258"/>
      <c r="J566" s="258"/>
      <c r="K566" s="258"/>
      <c r="L566" s="258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</row>
    <row r="567" spans="1:25" ht="20.25" customHeight="1">
      <c r="A567" s="267"/>
      <c r="B567" s="267"/>
      <c r="C567" s="267"/>
      <c r="D567" s="267"/>
      <c r="E567" s="267"/>
      <c r="F567" s="267"/>
      <c r="G567" s="267"/>
      <c r="H567" s="267"/>
      <c r="I567" s="258"/>
      <c r="J567" s="258"/>
      <c r="K567" s="258"/>
      <c r="L567" s="258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</row>
    <row r="568" spans="1:25" ht="20.25" customHeight="1">
      <c r="A568" s="267"/>
      <c r="B568" s="267"/>
      <c r="C568" s="267"/>
      <c r="D568" s="267"/>
      <c r="E568" s="267"/>
      <c r="F568" s="267"/>
      <c r="G568" s="267"/>
      <c r="H568" s="267"/>
      <c r="I568" s="258"/>
      <c r="J568" s="258"/>
      <c r="K568" s="258"/>
      <c r="L568" s="258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</row>
    <row r="569" spans="1:25" ht="20.25" customHeight="1">
      <c r="A569" s="267"/>
      <c r="B569" s="267"/>
      <c r="C569" s="267"/>
      <c r="D569" s="267"/>
      <c r="E569" s="267"/>
      <c r="F569" s="267"/>
      <c r="G569" s="267"/>
      <c r="H569" s="267"/>
      <c r="I569" s="258"/>
      <c r="J569" s="258"/>
      <c r="K569" s="258"/>
      <c r="L569" s="258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</row>
    <row r="570" spans="1:25" ht="20.25" customHeight="1">
      <c r="A570" s="267"/>
      <c r="B570" s="267"/>
      <c r="C570" s="267"/>
      <c r="D570" s="267"/>
      <c r="E570" s="267"/>
      <c r="F570" s="267"/>
      <c r="G570" s="267"/>
      <c r="H570" s="267"/>
      <c r="I570" s="258"/>
      <c r="J570" s="258"/>
      <c r="K570" s="258"/>
      <c r="L570" s="258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</row>
    <row r="571" spans="1:25" ht="20.25" customHeight="1">
      <c r="A571" s="267"/>
      <c r="B571" s="267"/>
      <c r="C571" s="267"/>
      <c r="D571" s="267"/>
      <c r="E571" s="267"/>
      <c r="F571" s="267"/>
      <c r="G571" s="267"/>
      <c r="H571" s="267"/>
      <c r="I571" s="258"/>
      <c r="J571" s="258"/>
      <c r="K571" s="258"/>
      <c r="L571" s="258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</row>
    <row r="572" spans="1:25" ht="20.25" customHeight="1">
      <c r="A572" s="267"/>
      <c r="B572" s="267"/>
      <c r="C572" s="267"/>
      <c r="D572" s="267"/>
      <c r="E572" s="267"/>
      <c r="F572" s="267"/>
      <c r="G572" s="267"/>
      <c r="H572" s="267"/>
      <c r="I572" s="258"/>
      <c r="J572" s="258"/>
      <c r="K572" s="258"/>
      <c r="L572" s="258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</row>
    <row r="573" spans="1:25" ht="20.25" customHeight="1">
      <c r="A573" s="267"/>
      <c r="B573" s="267"/>
      <c r="C573" s="267"/>
      <c r="D573" s="267"/>
      <c r="E573" s="267"/>
      <c r="F573" s="267"/>
      <c r="G573" s="267"/>
      <c r="H573" s="267"/>
      <c r="I573" s="258"/>
      <c r="J573" s="258"/>
      <c r="K573" s="258"/>
      <c r="L573" s="258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</row>
    <row r="574" spans="1:25" ht="20.25" customHeight="1">
      <c r="A574" s="267"/>
      <c r="B574" s="267"/>
      <c r="C574" s="267"/>
      <c r="D574" s="267"/>
      <c r="E574" s="267"/>
      <c r="F574" s="267"/>
      <c r="G574" s="267"/>
      <c r="H574" s="267"/>
      <c r="I574" s="258"/>
      <c r="J574" s="258"/>
      <c r="K574" s="258"/>
      <c r="L574" s="258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</row>
    <row r="575" spans="1:25" ht="20.25" customHeight="1">
      <c r="A575" s="267"/>
      <c r="B575" s="267"/>
      <c r="C575" s="267"/>
      <c r="D575" s="267"/>
      <c r="E575" s="267"/>
      <c r="F575" s="267"/>
      <c r="G575" s="267"/>
      <c r="H575" s="267"/>
      <c r="I575" s="258"/>
      <c r="J575" s="258"/>
      <c r="K575" s="258"/>
      <c r="L575" s="258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</row>
    <row r="576" spans="1:25" ht="20.25" customHeight="1">
      <c r="A576" s="267"/>
      <c r="B576" s="267"/>
      <c r="C576" s="267"/>
      <c r="D576" s="267"/>
      <c r="E576" s="267"/>
      <c r="F576" s="267"/>
      <c r="G576" s="267"/>
      <c r="H576" s="267"/>
      <c r="I576" s="258"/>
      <c r="J576" s="258"/>
      <c r="K576" s="258"/>
      <c r="L576" s="258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</row>
    <row r="577" spans="1:25" ht="20.25" customHeight="1">
      <c r="A577" s="267"/>
      <c r="B577" s="267"/>
      <c r="C577" s="267"/>
      <c r="D577" s="267"/>
      <c r="E577" s="267"/>
      <c r="F577" s="267"/>
      <c r="G577" s="267"/>
      <c r="H577" s="267"/>
      <c r="I577" s="258"/>
      <c r="J577" s="258"/>
      <c r="K577" s="258"/>
      <c r="L577" s="258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</row>
    <row r="578" spans="1:25" ht="20.25" customHeight="1">
      <c r="A578" s="267"/>
      <c r="B578" s="267"/>
      <c r="C578" s="267"/>
      <c r="D578" s="267"/>
      <c r="E578" s="267"/>
      <c r="F578" s="267"/>
      <c r="G578" s="267"/>
      <c r="H578" s="267"/>
      <c r="I578" s="258"/>
      <c r="J578" s="258"/>
      <c r="K578" s="258"/>
      <c r="L578" s="258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</row>
    <row r="579" spans="1:25" ht="20.25" customHeight="1">
      <c r="A579" s="267"/>
      <c r="B579" s="267"/>
      <c r="C579" s="267"/>
      <c r="D579" s="267"/>
      <c r="E579" s="267"/>
      <c r="F579" s="267"/>
      <c r="G579" s="267"/>
      <c r="H579" s="267"/>
      <c r="I579" s="258"/>
      <c r="J579" s="258"/>
      <c r="K579" s="258"/>
      <c r="L579" s="258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</row>
    <row r="580" spans="1:25" ht="20.25" customHeight="1">
      <c r="A580" s="267"/>
      <c r="B580" s="267"/>
      <c r="C580" s="267"/>
      <c r="D580" s="267"/>
      <c r="E580" s="267"/>
      <c r="F580" s="267"/>
      <c r="G580" s="267"/>
      <c r="H580" s="267"/>
      <c r="I580" s="258"/>
      <c r="J580" s="258"/>
      <c r="K580" s="258"/>
      <c r="L580" s="258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</row>
    <row r="581" spans="1:25" ht="20.25" customHeight="1">
      <c r="A581" s="267"/>
      <c r="B581" s="267"/>
      <c r="C581" s="267"/>
      <c r="D581" s="267"/>
      <c r="E581" s="267"/>
      <c r="F581" s="267"/>
      <c r="G581" s="267"/>
      <c r="H581" s="267"/>
      <c r="I581" s="258"/>
      <c r="J581" s="258"/>
      <c r="K581" s="258"/>
      <c r="L581" s="258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</row>
    <row r="582" spans="1:25" ht="20.25" customHeight="1">
      <c r="A582" s="267"/>
      <c r="B582" s="267"/>
      <c r="C582" s="267"/>
      <c r="D582" s="267"/>
      <c r="E582" s="267"/>
      <c r="F582" s="267"/>
      <c r="G582" s="267"/>
      <c r="H582" s="267"/>
      <c r="I582" s="258"/>
      <c r="J582" s="258"/>
      <c r="K582" s="258"/>
      <c r="L582" s="258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</row>
    <row r="583" spans="1:25" ht="20.25" customHeight="1">
      <c r="A583" s="267"/>
      <c r="B583" s="267"/>
      <c r="C583" s="267"/>
      <c r="D583" s="267"/>
      <c r="E583" s="267"/>
      <c r="F583" s="267"/>
      <c r="G583" s="267"/>
      <c r="H583" s="267"/>
      <c r="I583" s="258"/>
      <c r="J583" s="258"/>
      <c r="K583" s="258"/>
      <c r="L583" s="258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</row>
    <row r="584" spans="1:25" ht="20.25" customHeight="1">
      <c r="A584" s="267"/>
      <c r="B584" s="267"/>
      <c r="C584" s="267"/>
      <c r="D584" s="267"/>
      <c r="E584" s="267"/>
      <c r="F584" s="267"/>
      <c r="G584" s="267"/>
      <c r="H584" s="267"/>
      <c r="I584" s="258"/>
      <c r="J584" s="258"/>
      <c r="K584" s="258"/>
      <c r="L584" s="258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</row>
    <row r="585" spans="1:25" ht="20.25" customHeight="1">
      <c r="A585" s="267"/>
      <c r="B585" s="267"/>
      <c r="C585" s="267"/>
      <c r="D585" s="267"/>
      <c r="E585" s="267"/>
      <c r="F585" s="267"/>
      <c r="G585" s="267"/>
      <c r="H585" s="267"/>
      <c r="I585" s="258"/>
      <c r="J585" s="258"/>
      <c r="K585" s="258"/>
      <c r="L585" s="258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</row>
    <row r="586" spans="1:25" ht="20.25" customHeight="1">
      <c r="A586" s="267"/>
      <c r="B586" s="267"/>
      <c r="C586" s="267"/>
      <c r="D586" s="267"/>
      <c r="E586" s="267"/>
      <c r="F586" s="267"/>
      <c r="G586" s="267"/>
      <c r="H586" s="267"/>
      <c r="I586" s="258"/>
      <c r="J586" s="258"/>
      <c r="K586" s="258"/>
      <c r="L586" s="258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</row>
    <row r="587" spans="1:25" ht="20.25" customHeight="1">
      <c r="A587" s="267"/>
      <c r="B587" s="267"/>
      <c r="C587" s="267"/>
      <c r="D587" s="267"/>
      <c r="E587" s="267"/>
      <c r="F587" s="267"/>
      <c r="G587" s="267"/>
      <c r="H587" s="267"/>
      <c r="I587" s="258"/>
      <c r="J587" s="258"/>
      <c r="K587" s="258"/>
      <c r="L587" s="258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</row>
    <row r="588" spans="1:25" ht="20.25" customHeight="1">
      <c r="A588" s="267"/>
      <c r="B588" s="267"/>
      <c r="C588" s="267"/>
      <c r="D588" s="267"/>
      <c r="E588" s="267"/>
      <c r="F588" s="267"/>
      <c r="G588" s="267"/>
      <c r="H588" s="267"/>
      <c r="I588" s="258"/>
      <c r="J588" s="258"/>
      <c r="K588" s="258"/>
      <c r="L588" s="258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</row>
    <row r="589" spans="1:25" ht="20.25" customHeight="1">
      <c r="A589" s="267"/>
      <c r="B589" s="267"/>
      <c r="C589" s="267"/>
      <c r="D589" s="267"/>
      <c r="E589" s="267"/>
      <c r="F589" s="267"/>
      <c r="G589" s="267"/>
      <c r="H589" s="267"/>
      <c r="I589" s="258"/>
      <c r="J589" s="258"/>
      <c r="K589" s="258"/>
      <c r="L589" s="258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</row>
    <row r="590" spans="1:25" ht="20.25" customHeight="1">
      <c r="A590" s="267"/>
      <c r="B590" s="267"/>
      <c r="C590" s="267"/>
      <c r="D590" s="267"/>
      <c r="E590" s="267"/>
      <c r="F590" s="267"/>
      <c r="G590" s="267"/>
      <c r="H590" s="267"/>
      <c r="I590" s="258"/>
      <c r="J590" s="258"/>
      <c r="K590" s="258"/>
      <c r="L590" s="258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</row>
    <row r="591" spans="1:25" ht="20.25" customHeight="1">
      <c r="A591" s="267"/>
      <c r="B591" s="267"/>
      <c r="C591" s="267"/>
      <c r="D591" s="267"/>
      <c r="E591" s="267"/>
      <c r="F591" s="267"/>
      <c r="G591" s="267"/>
      <c r="H591" s="267"/>
      <c r="I591" s="258"/>
      <c r="J591" s="258"/>
      <c r="K591" s="258"/>
      <c r="L591" s="258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</row>
    <row r="592" spans="1:25" ht="20.25" customHeight="1">
      <c r="A592" s="267"/>
      <c r="B592" s="267"/>
      <c r="C592" s="267"/>
      <c r="D592" s="267"/>
      <c r="E592" s="267"/>
      <c r="F592" s="267"/>
      <c r="G592" s="267"/>
      <c r="H592" s="267"/>
      <c r="I592" s="258"/>
      <c r="J592" s="258"/>
      <c r="K592" s="258"/>
      <c r="L592" s="258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</row>
    <row r="593" spans="1:25" ht="20.25" customHeight="1">
      <c r="A593" s="267"/>
      <c r="B593" s="267"/>
      <c r="C593" s="267"/>
      <c r="D593" s="267"/>
      <c r="E593" s="267"/>
      <c r="F593" s="267"/>
      <c r="G593" s="267"/>
      <c r="H593" s="267"/>
      <c r="I593" s="258"/>
      <c r="J593" s="258"/>
      <c r="K593" s="258"/>
      <c r="L593" s="258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</row>
    <row r="594" spans="1:25" ht="20.25" customHeight="1">
      <c r="A594" s="267"/>
      <c r="B594" s="267"/>
      <c r="C594" s="267"/>
      <c r="D594" s="267"/>
      <c r="E594" s="267"/>
      <c r="F594" s="267"/>
      <c r="G594" s="267"/>
      <c r="H594" s="267"/>
      <c r="I594" s="258"/>
      <c r="J594" s="258"/>
      <c r="K594" s="258"/>
      <c r="L594" s="258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</row>
    <row r="595" spans="1:25" ht="20.25" customHeight="1">
      <c r="A595" s="267"/>
      <c r="B595" s="267"/>
      <c r="C595" s="267"/>
      <c r="D595" s="267"/>
      <c r="E595" s="267"/>
      <c r="F595" s="267"/>
      <c r="G595" s="267"/>
      <c r="H595" s="267"/>
      <c r="I595" s="258"/>
      <c r="J595" s="258"/>
      <c r="K595" s="258"/>
      <c r="L595" s="258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</row>
    <row r="596" spans="1:25" ht="20.25" customHeight="1">
      <c r="A596" s="267"/>
      <c r="B596" s="267"/>
      <c r="C596" s="267"/>
      <c r="D596" s="267"/>
      <c r="E596" s="267"/>
      <c r="F596" s="267"/>
      <c r="G596" s="267"/>
      <c r="H596" s="267"/>
      <c r="I596" s="258"/>
      <c r="J596" s="258"/>
      <c r="K596" s="258"/>
      <c r="L596" s="258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</row>
    <row r="597" spans="1:25" ht="20.25" customHeight="1">
      <c r="A597" s="267"/>
      <c r="B597" s="267"/>
      <c r="C597" s="267"/>
      <c r="D597" s="267"/>
      <c r="E597" s="267"/>
      <c r="F597" s="267"/>
      <c r="G597" s="267"/>
      <c r="H597" s="267"/>
      <c r="I597" s="258"/>
      <c r="J597" s="258"/>
      <c r="K597" s="258"/>
      <c r="L597" s="258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</row>
    <row r="598" spans="1:25" ht="20.25" customHeight="1">
      <c r="A598" s="267"/>
      <c r="B598" s="267"/>
      <c r="C598" s="267"/>
      <c r="D598" s="267"/>
      <c r="E598" s="267"/>
      <c r="F598" s="267"/>
      <c r="G598" s="267"/>
      <c r="H598" s="267"/>
      <c r="I598" s="258"/>
      <c r="J598" s="258"/>
      <c r="K598" s="258"/>
      <c r="L598" s="258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</row>
    <row r="599" spans="1:25" ht="20.25" customHeight="1">
      <c r="A599" s="267"/>
      <c r="B599" s="267"/>
      <c r="C599" s="267"/>
      <c r="D599" s="267"/>
      <c r="E599" s="267"/>
      <c r="F599" s="267"/>
      <c r="G599" s="267"/>
      <c r="H599" s="267"/>
      <c r="I599" s="258"/>
      <c r="J599" s="258"/>
      <c r="K599" s="258"/>
      <c r="L599" s="258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</row>
    <row r="600" spans="1:25" ht="20.25" customHeight="1">
      <c r="A600" s="267"/>
      <c r="B600" s="267"/>
      <c r="C600" s="267"/>
      <c r="D600" s="267"/>
      <c r="E600" s="267"/>
      <c r="F600" s="267"/>
      <c r="G600" s="267"/>
      <c r="H600" s="267"/>
      <c r="I600" s="258"/>
      <c r="J600" s="258"/>
      <c r="K600" s="258"/>
      <c r="L600" s="258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</row>
    <row r="601" spans="1:25" ht="20.25" customHeight="1">
      <c r="A601" s="267"/>
      <c r="B601" s="267"/>
      <c r="C601" s="267"/>
      <c r="D601" s="267"/>
      <c r="E601" s="267"/>
      <c r="F601" s="267"/>
      <c r="G601" s="267"/>
      <c r="H601" s="267"/>
      <c r="I601" s="258"/>
      <c r="J601" s="258"/>
      <c r="K601" s="258"/>
      <c r="L601" s="258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</row>
    <row r="602" spans="1:25" ht="20.25" customHeight="1">
      <c r="A602" s="267"/>
      <c r="B602" s="267"/>
      <c r="C602" s="267"/>
      <c r="D602" s="267"/>
      <c r="E602" s="267"/>
      <c r="F602" s="267"/>
      <c r="G602" s="267"/>
      <c r="H602" s="267"/>
      <c r="I602" s="258"/>
      <c r="J602" s="258"/>
      <c r="K602" s="258"/>
      <c r="L602" s="258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</row>
    <row r="603" spans="1:25" ht="20.25" customHeight="1">
      <c r="A603" s="267"/>
      <c r="B603" s="267"/>
      <c r="C603" s="267"/>
      <c r="D603" s="267"/>
      <c r="E603" s="267"/>
      <c r="F603" s="267"/>
      <c r="G603" s="267"/>
      <c r="H603" s="267"/>
      <c r="I603" s="258"/>
      <c r="J603" s="258"/>
      <c r="K603" s="258"/>
      <c r="L603" s="258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</row>
    <row r="604" spans="1:25" ht="20.25" customHeight="1">
      <c r="A604" s="267"/>
      <c r="B604" s="267"/>
      <c r="C604" s="267"/>
      <c r="D604" s="267"/>
      <c r="E604" s="267"/>
      <c r="F604" s="267"/>
      <c r="G604" s="267"/>
      <c r="H604" s="267"/>
      <c r="I604" s="258"/>
      <c r="J604" s="258"/>
      <c r="K604" s="258"/>
      <c r="L604" s="258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</row>
    <row r="605" spans="1:25" ht="20.25" customHeight="1">
      <c r="A605" s="267"/>
      <c r="B605" s="267"/>
      <c r="C605" s="267"/>
      <c r="D605" s="267"/>
      <c r="E605" s="267"/>
      <c r="F605" s="267"/>
      <c r="G605" s="267"/>
      <c r="H605" s="267"/>
      <c r="I605" s="258"/>
      <c r="J605" s="258"/>
      <c r="K605" s="258"/>
      <c r="L605" s="258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</row>
    <row r="606" spans="1:25" ht="20.25" customHeight="1">
      <c r="A606" s="267"/>
      <c r="B606" s="267"/>
      <c r="C606" s="267"/>
      <c r="D606" s="267"/>
      <c r="E606" s="267"/>
      <c r="F606" s="267"/>
      <c r="G606" s="267"/>
      <c r="H606" s="267"/>
      <c r="I606" s="258"/>
      <c r="J606" s="258"/>
      <c r="K606" s="258"/>
      <c r="L606" s="258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</row>
    <row r="607" spans="1:25" ht="20.25" customHeight="1">
      <c r="A607" s="267"/>
      <c r="B607" s="267"/>
      <c r="C607" s="267"/>
      <c r="D607" s="267"/>
      <c r="E607" s="267"/>
      <c r="F607" s="267"/>
      <c r="G607" s="267"/>
      <c r="H607" s="267"/>
      <c r="I607" s="258"/>
      <c r="J607" s="258"/>
      <c r="K607" s="258"/>
      <c r="L607" s="258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</row>
    <row r="608" spans="1:25" ht="20.25" customHeight="1">
      <c r="A608" s="267"/>
      <c r="B608" s="267"/>
      <c r="C608" s="267"/>
      <c r="D608" s="267"/>
      <c r="E608" s="267"/>
      <c r="F608" s="267"/>
      <c r="G608" s="267"/>
      <c r="H608" s="267"/>
      <c r="I608" s="258"/>
      <c r="J608" s="258"/>
      <c r="K608" s="258"/>
      <c r="L608" s="258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</row>
    <row r="609" spans="1:25" ht="20.25" customHeight="1">
      <c r="A609" s="267"/>
      <c r="B609" s="267"/>
      <c r="C609" s="267"/>
      <c r="D609" s="267"/>
      <c r="E609" s="267"/>
      <c r="F609" s="267"/>
      <c r="G609" s="267"/>
      <c r="H609" s="267"/>
      <c r="I609" s="258"/>
      <c r="J609" s="258"/>
      <c r="K609" s="258"/>
      <c r="L609" s="258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</row>
    <row r="610" spans="1:25" ht="20.25" customHeight="1">
      <c r="A610" s="267"/>
      <c r="B610" s="267"/>
      <c r="C610" s="267"/>
      <c r="D610" s="267"/>
      <c r="E610" s="267"/>
      <c r="F610" s="267"/>
      <c r="G610" s="267"/>
      <c r="H610" s="267"/>
      <c r="I610" s="258"/>
      <c r="J610" s="258"/>
      <c r="K610" s="258"/>
      <c r="L610" s="258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</row>
    <row r="611" spans="1:25" ht="20.25" customHeight="1">
      <c r="A611" s="267"/>
      <c r="B611" s="267"/>
      <c r="C611" s="267"/>
      <c r="D611" s="267"/>
      <c r="E611" s="267"/>
      <c r="F611" s="267"/>
      <c r="G611" s="267"/>
      <c r="H611" s="267"/>
      <c r="I611" s="258"/>
      <c r="J611" s="258"/>
      <c r="K611" s="258"/>
      <c r="L611" s="258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</row>
    <row r="612" spans="1:25" ht="20.25" customHeight="1">
      <c r="A612" s="267"/>
      <c r="B612" s="267"/>
      <c r="C612" s="267"/>
      <c r="D612" s="267"/>
      <c r="E612" s="267"/>
      <c r="F612" s="267"/>
      <c r="G612" s="267"/>
      <c r="H612" s="267"/>
      <c r="I612" s="258"/>
      <c r="J612" s="258"/>
      <c r="K612" s="258"/>
      <c r="L612" s="258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</row>
    <row r="613" spans="1:25" ht="20.25" customHeight="1">
      <c r="A613" s="267"/>
      <c r="B613" s="267"/>
      <c r="C613" s="267"/>
      <c r="D613" s="267"/>
      <c r="E613" s="267"/>
      <c r="F613" s="267"/>
      <c r="G613" s="267"/>
      <c r="H613" s="267"/>
      <c r="I613" s="258"/>
      <c r="J613" s="258"/>
      <c r="K613" s="258"/>
      <c r="L613" s="258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</row>
    <row r="614" spans="1:25" ht="20.25" customHeight="1">
      <c r="A614" s="267"/>
      <c r="B614" s="267"/>
      <c r="C614" s="267"/>
      <c r="D614" s="267"/>
      <c r="E614" s="267"/>
      <c r="F614" s="267"/>
      <c r="G614" s="267"/>
      <c r="H614" s="267"/>
      <c r="I614" s="258"/>
      <c r="J614" s="258"/>
      <c r="K614" s="258"/>
      <c r="L614" s="258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</row>
    <row r="615" spans="1:25" ht="20.25" customHeight="1">
      <c r="A615" s="267"/>
      <c r="B615" s="267"/>
      <c r="C615" s="267"/>
      <c r="D615" s="267"/>
      <c r="E615" s="267"/>
      <c r="F615" s="267"/>
      <c r="G615" s="267"/>
      <c r="H615" s="267"/>
      <c r="I615" s="258"/>
      <c r="J615" s="258"/>
      <c r="K615" s="258"/>
      <c r="L615" s="258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</row>
    <row r="616" spans="1:25" ht="20.25" customHeight="1">
      <c r="A616" s="267"/>
      <c r="B616" s="267"/>
      <c r="C616" s="267"/>
      <c r="D616" s="267"/>
      <c r="E616" s="267"/>
      <c r="F616" s="267"/>
      <c r="G616" s="267"/>
      <c r="H616" s="267"/>
      <c r="I616" s="258"/>
      <c r="J616" s="258"/>
      <c r="K616" s="258"/>
      <c r="L616" s="258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</row>
    <row r="617" spans="1:25" ht="20.25" customHeight="1">
      <c r="A617" s="267"/>
      <c r="B617" s="267"/>
      <c r="C617" s="267"/>
      <c r="D617" s="267"/>
      <c r="E617" s="267"/>
      <c r="F617" s="267"/>
      <c r="G617" s="267"/>
      <c r="H617" s="267"/>
      <c r="I617" s="258"/>
      <c r="J617" s="258"/>
      <c r="K617" s="258"/>
      <c r="L617" s="258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</row>
    <row r="618" spans="1:25" ht="20.25" customHeight="1">
      <c r="A618" s="267"/>
      <c r="B618" s="267"/>
      <c r="C618" s="267"/>
      <c r="D618" s="267"/>
      <c r="E618" s="267"/>
      <c r="F618" s="267"/>
      <c r="G618" s="267"/>
      <c r="H618" s="267"/>
      <c r="I618" s="258"/>
      <c r="J618" s="258"/>
      <c r="K618" s="258"/>
      <c r="L618" s="258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</row>
    <row r="619" spans="1:25" ht="20.25" customHeight="1">
      <c r="A619" s="267"/>
      <c r="B619" s="267"/>
      <c r="C619" s="267"/>
      <c r="D619" s="267"/>
      <c r="E619" s="267"/>
      <c r="F619" s="267"/>
      <c r="G619" s="267"/>
      <c r="H619" s="267"/>
      <c r="I619" s="258"/>
      <c r="J619" s="258"/>
      <c r="K619" s="258"/>
      <c r="L619" s="258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</row>
    <row r="620" spans="1:25" ht="20.25" customHeight="1">
      <c r="A620" s="267"/>
      <c r="B620" s="267"/>
      <c r="C620" s="267"/>
      <c r="D620" s="267"/>
      <c r="E620" s="267"/>
      <c r="F620" s="267"/>
      <c r="G620" s="267"/>
      <c r="H620" s="267"/>
      <c r="I620" s="258"/>
      <c r="J620" s="258"/>
      <c r="K620" s="258"/>
      <c r="L620" s="258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</row>
    <row r="621" spans="1:25" ht="20.25" customHeight="1">
      <c r="A621" s="267"/>
      <c r="B621" s="267"/>
      <c r="C621" s="267"/>
      <c r="D621" s="267"/>
      <c r="E621" s="267"/>
      <c r="F621" s="267"/>
      <c r="G621" s="267"/>
      <c r="H621" s="267"/>
      <c r="I621" s="258"/>
      <c r="J621" s="258"/>
      <c r="K621" s="258"/>
      <c r="L621" s="258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</row>
    <row r="622" spans="1:25" ht="20.25" customHeight="1">
      <c r="A622" s="267"/>
      <c r="B622" s="267"/>
      <c r="C622" s="267"/>
      <c r="D622" s="267"/>
      <c r="E622" s="267"/>
      <c r="F622" s="267"/>
      <c r="G622" s="267"/>
      <c r="H622" s="267"/>
      <c r="I622" s="258"/>
      <c r="J622" s="258"/>
      <c r="K622" s="258"/>
      <c r="L622" s="258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</row>
    <row r="623" spans="1:25" ht="20.25" customHeight="1">
      <c r="A623" s="267"/>
      <c r="B623" s="267"/>
      <c r="C623" s="267"/>
      <c r="D623" s="267"/>
      <c r="E623" s="267"/>
      <c r="F623" s="267"/>
      <c r="G623" s="267"/>
      <c r="H623" s="267"/>
      <c r="I623" s="258"/>
      <c r="J623" s="258"/>
      <c r="K623" s="258"/>
      <c r="L623" s="258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</row>
    <row r="624" spans="1:25" ht="20.25" customHeight="1">
      <c r="A624" s="267"/>
      <c r="B624" s="267"/>
      <c r="C624" s="267"/>
      <c r="D624" s="267"/>
      <c r="E624" s="267"/>
      <c r="F624" s="267"/>
      <c r="G624" s="267"/>
      <c r="H624" s="267"/>
      <c r="I624" s="258"/>
      <c r="J624" s="258"/>
      <c r="K624" s="258"/>
      <c r="L624" s="258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</row>
    <row r="625" spans="1:25" ht="20.25" customHeight="1">
      <c r="A625" s="267"/>
      <c r="B625" s="267"/>
      <c r="C625" s="267"/>
      <c r="D625" s="267"/>
      <c r="E625" s="267"/>
      <c r="F625" s="267"/>
      <c r="G625" s="267"/>
      <c r="H625" s="267"/>
      <c r="I625" s="258"/>
      <c r="J625" s="258"/>
      <c r="K625" s="258"/>
      <c r="L625" s="258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</row>
    <row r="626" spans="1:25" ht="20.25" customHeight="1">
      <c r="A626" s="267"/>
      <c r="B626" s="267"/>
      <c r="C626" s="267"/>
      <c r="D626" s="267"/>
      <c r="E626" s="267"/>
      <c r="F626" s="267"/>
      <c r="G626" s="267"/>
      <c r="H626" s="267"/>
      <c r="I626" s="258"/>
      <c r="J626" s="258"/>
      <c r="K626" s="258"/>
      <c r="L626" s="258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</row>
    <row r="627" spans="1:25" ht="20.25" customHeight="1">
      <c r="A627" s="267"/>
      <c r="B627" s="267"/>
      <c r="C627" s="267"/>
      <c r="D627" s="267"/>
      <c r="E627" s="267"/>
      <c r="F627" s="267"/>
      <c r="G627" s="267"/>
      <c r="H627" s="267"/>
      <c r="I627" s="258"/>
      <c r="J627" s="258"/>
      <c r="K627" s="258"/>
      <c r="L627" s="258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</row>
    <row r="628" spans="1:25" ht="20.25" customHeight="1">
      <c r="A628" s="267"/>
      <c r="B628" s="267"/>
      <c r="C628" s="267"/>
      <c r="D628" s="267"/>
      <c r="E628" s="267"/>
      <c r="F628" s="267"/>
      <c r="G628" s="267"/>
      <c r="H628" s="267"/>
      <c r="I628" s="258"/>
      <c r="J628" s="258"/>
      <c r="K628" s="258"/>
      <c r="L628" s="258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</row>
    <row r="629" spans="1:25" ht="20.25" customHeight="1">
      <c r="A629" s="267"/>
      <c r="B629" s="267"/>
      <c r="C629" s="267"/>
      <c r="D629" s="267"/>
      <c r="E629" s="267"/>
      <c r="F629" s="267"/>
      <c r="G629" s="267"/>
      <c r="H629" s="267"/>
      <c r="I629" s="258"/>
      <c r="J629" s="258"/>
      <c r="K629" s="258"/>
      <c r="L629" s="258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</row>
    <row r="630" spans="1:25" ht="20.25" customHeight="1">
      <c r="A630" s="267"/>
      <c r="B630" s="267"/>
      <c r="C630" s="267"/>
      <c r="D630" s="267"/>
      <c r="E630" s="267"/>
      <c r="F630" s="267"/>
      <c r="G630" s="267"/>
      <c r="H630" s="267"/>
      <c r="I630" s="258"/>
      <c r="J630" s="258"/>
      <c r="K630" s="258"/>
      <c r="L630" s="258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</row>
    <row r="631" spans="1:25" ht="20.25" customHeight="1">
      <c r="A631" s="267"/>
      <c r="B631" s="267"/>
      <c r="C631" s="267"/>
      <c r="D631" s="267"/>
      <c r="E631" s="267"/>
      <c r="F631" s="267"/>
      <c r="G631" s="267"/>
      <c r="H631" s="267"/>
      <c r="I631" s="258"/>
      <c r="J631" s="258"/>
      <c r="K631" s="258"/>
      <c r="L631" s="258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</row>
    <row r="632" spans="1:25" ht="20.25" customHeight="1">
      <c r="A632" s="267"/>
      <c r="B632" s="267"/>
      <c r="C632" s="267"/>
      <c r="D632" s="267"/>
      <c r="E632" s="267"/>
      <c r="F632" s="267"/>
      <c r="G632" s="267"/>
      <c r="H632" s="267"/>
      <c r="I632" s="258"/>
      <c r="J632" s="258"/>
      <c r="K632" s="258"/>
      <c r="L632" s="258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</row>
    <row r="633" spans="1:25" ht="20.25" customHeight="1">
      <c r="A633" s="267"/>
      <c r="B633" s="267"/>
      <c r="C633" s="267"/>
      <c r="D633" s="267"/>
      <c r="E633" s="267"/>
      <c r="F633" s="267"/>
      <c r="G633" s="267"/>
      <c r="H633" s="267"/>
      <c r="I633" s="258"/>
      <c r="J633" s="258"/>
      <c r="K633" s="258"/>
      <c r="L633" s="258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</row>
    <row r="634" spans="1:25" ht="20.25" customHeight="1">
      <c r="A634" s="267"/>
      <c r="B634" s="267"/>
      <c r="C634" s="267"/>
      <c r="D634" s="267"/>
      <c r="E634" s="267"/>
      <c r="F634" s="267"/>
      <c r="G634" s="267"/>
      <c r="H634" s="267"/>
      <c r="I634" s="258"/>
      <c r="J634" s="258"/>
      <c r="K634" s="258"/>
      <c r="L634" s="258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</row>
    <row r="635" spans="1:25" ht="20.25" customHeight="1">
      <c r="A635" s="267"/>
      <c r="B635" s="267"/>
      <c r="C635" s="267"/>
      <c r="D635" s="267"/>
      <c r="E635" s="267"/>
      <c r="F635" s="267"/>
      <c r="G635" s="267"/>
      <c r="H635" s="267"/>
      <c r="I635" s="258"/>
      <c r="J635" s="258"/>
      <c r="K635" s="258"/>
      <c r="L635" s="258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</row>
    <row r="636" spans="1:25" ht="20.25" customHeight="1">
      <c r="A636" s="267"/>
      <c r="B636" s="267"/>
      <c r="C636" s="267"/>
      <c r="D636" s="267"/>
      <c r="E636" s="267"/>
      <c r="F636" s="267"/>
      <c r="G636" s="267"/>
      <c r="H636" s="267"/>
      <c r="I636" s="258"/>
      <c r="J636" s="258"/>
      <c r="K636" s="258"/>
      <c r="L636" s="258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</row>
    <row r="637" spans="1:25" ht="20.25" customHeight="1">
      <c r="A637" s="267"/>
      <c r="B637" s="267"/>
      <c r="C637" s="267"/>
      <c r="D637" s="267"/>
      <c r="E637" s="267"/>
      <c r="F637" s="267"/>
      <c r="G637" s="267"/>
      <c r="H637" s="267"/>
      <c r="I637" s="258"/>
      <c r="J637" s="258"/>
      <c r="K637" s="258"/>
      <c r="L637" s="258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</row>
    <row r="638" spans="1:25" ht="20.25" customHeight="1">
      <c r="A638" s="267"/>
      <c r="B638" s="267"/>
      <c r="C638" s="267"/>
      <c r="D638" s="267"/>
      <c r="E638" s="267"/>
      <c r="F638" s="267"/>
      <c r="G638" s="267"/>
      <c r="H638" s="267"/>
      <c r="I638" s="258"/>
      <c r="J638" s="258"/>
      <c r="K638" s="258"/>
      <c r="L638" s="258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</row>
    <row r="639" spans="1:25" ht="20.25" customHeight="1">
      <c r="A639" s="267"/>
      <c r="B639" s="267"/>
      <c r="C639" s="267"/>
      <c r="D639" s="267"/>
      <c r="E639" s="267"/>
      <c r="F639" s="267"/>
      <c r="G639" s="267"/>
      <c r="H639" s="267"/>
      <c r="I639" s="258"/>
      <c r="J639" s="258"/>
      <c r="K639" s="258"/>
      <c r="L639" s="258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</row>
    <row r="640" spans="1:25" ht="20.25" customHeight="1">
      <c r="A640" s="267"/>
      <c r="B640" s="267"/>
      <c r="C640" s="267"/>
      <c r="D640" s="267"/>
      <c r="E640" s="267"/>
      <c r="F640" s="267"/>
      <c r="G640" s="267"/>
      <c r="H640" s="267"/>
      <c r="I640" s="258"/>
      <c r="J640" s="258"/>
      <c r="K640" s="258"/>
      <c r="L640" s="258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</row>
    <row r="641" spans="1:25" ht="20.25" customHeight="1">
      <c r="A641" s="267"/>
      <c r="B641" s="267"/>
      <c r="C641" s="267"/>
      <c r="D641" s="267"/>
      <c r="E641" s="267"/>
      <c r="F641" s="267"/>
      <c r="G641" s="267"/>
      <c r="H641" s="267"/>
      <c r="I641" s="258"/>
      <c r="J641" s="258"/>
      <c r="K641" s="258"/>
      <c r="L641" s="258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</row>
    <row r="642" spans="1:25" ht="20.25" customHeight="1">
      <c r="A642" s="267"/>
      <c r="B642" s="267"/>
      <c r="C642" s="267"/>
      <c r="D642" s="267"/>
      <c r="E642" s="267"/>
      <c r="F642" s="267"/>
      <c r="G642" s="267"/>
      <c r="H642" s="267"/>
      <c r="I642" s="258"/>
      <c r="J642" s="258"/>
      <c r="K642" s="258"/>
      <c r="L642" s="258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</row>
    <row r="643" spans="1:25" ht="20.25" customHeight="1">
      <c r="A643" s="267"/>
      <c r="B643" s="267"/>
      <c r="C643" s="267"/>
      <c r="D643" s="267"/>
      <c r="E643" s="267"/>
      <c r="F643" s="267"/>
      <c r="G643" s="267"/>
      <c r="H643" s="267"/>
      <c r="I643" s="258"/>
      <c r="J643" s="258"/>
      <c r="K643" s="258"/>
      <c r="L643" s="258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</row>
    <row r="644" spans="1:25" ht="20.25" customHeight="1">
      <c r="A644" s="267"/>
      <c r="B644" s="267"/>
      <c r="C644" s="267"/>
      <c r="D644" s="267"/>
      <c r="E644" s="267"/>
      <c r="F644" s="267"/>
      <c r="G644" s="267"/>
      <c r="H644" s="267"/>
      <c r="I644" s="258"/>
      <c r="J644" s="258"/>
      <c r="K644" s="258"/>
      <c r="L644" s="258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</row>
    <row r="645" spans="1:25" ht="20.25" customHeight="1">
      <c r="A645" s="267"/>
      <c r="B645" s="267"/>
      <c r="C645" s="267"/>
      <c r="D645" s="267"/>
      <c r="E645" s="267"/>
      <c r="F645" s="267"/>
      <c r="G645" s="267"/>
      <c r="H645" s="267"/>
      <c r="I645" s="258"/>
      <c r="J645" s="258"/>
      <c r="K645" s="258"/>
      <c r="L645" s="258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</row>
    <row r="646" spans="1:25" ht="20.25" customHeight="1">
      <c r="A646" s="267"/>
      <c r="B646" s="267"/>
      <c r="C646" s="267"/>
      <c r="D646" s="267"/>
      <c r="E646" s="267"/>
      <c r="F646" s="267"/>
      <c r="G646" s="267"/>
      <c r="H646" s="267"/>
      <c r="I646" s="258"/>
      <c r="J646" s="258"/>
      <c r="K646" s="258"/>
      <c r="L646" s="258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</row>
    <row r="647" spans="1:25" ht="20.25" customHeight="1">
      <c r="A647" s="267"/>
      <c r="B647" s="267"/>
      <c r="C647" s="267"/>
      <c r="D647" s="267"/>
      <c r="E647" s="267"/>
      <c r="F647" s="267"/>
      <c r="G647" s="267"/>
      <c r="H647" s="267"/>
      <c r="I647" s="258"/>
      <c r="J647" s="258"/>
      <c r="K647" s="258"/>
      <c r="L647" s="258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</row>
    <row r="648" spans="1:25" ht="20.25" customHeight="1">
      <c r="A648" s="267"/>
      <c r="B648" s="267"/>
      <c r="C648" s="267"/>
      <c r="D648" s="267"/>
      <c r="E648" s="267"/>
      <c r="F648" s="267"/>
      <c r="G648" s="267"/>
      <c r="H648" s="267"/>
      <c r="I648" s="258"/>
      <c r="J648" s="258"/>
      <c r="K648" s="258"/>
      <c r="L648" s="258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</row>
    <row r="649" spans="1:25" ht="20.25" customHeight="1">
      <c r="A649" s="267"/>
      <c r="B649" s="267"/>
      <c r="C649" s="267"/>
      <c r="D649" s="267"/>
      <c r="E649" s="267"/>
      <c r="F649" s="267"/>
      <c r="G649" s="267"/>
      <c r="H649" s="267"/>
      <c r="I649" s="258"/>
      <c r="J649" s="258"/>
      <c r="K649" s="258"/>
      <c r="L649" s="258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</row>
    <row r="650" spans="1:25" ht="20.25" customHeight="1">
      <c r="A650" s="267"/>
      <c r="B650" s="267"/>
      <c r="C650" s="267"/>
      <c r="D650" s="267"/>
      <c r="E650" s="267"/>
      <c r="F650" s="267"/>
      <c r="G650" s="267"/>
      <c r="H650" s="267"/>
      <c r="I650" s="258"/>
      <c r="J650" s="258"/>
      <c r="K650" s="258"/>
      <c r="L650" s="258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</row>
    <row r="651" spans="1:25" ht="20.25" customHeight="1">
      <c r="A651" s="267"/>
      <c r="B651" s="267"/>
      <c r="C651" s="267"/>
      <c r="D651" s="267"/>
      <c r="E651" s="267"/>
      <c r="F651" s="267"/>
      <c r="G651" s="267"/>
      <c r="H651" s="267"/>
      <c r="I651" s="258"/>
      <c r="J651" s="258"/>
      <c r="K651" s="258"/>
      <c r="L651" s="258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</row>
    <row r="652" spans="1:25" ht="20.25" customHeight="1">
      <c r="A652" s="267"/>
      <c r="B652" s="267"/>
      <c r="C652" s="267"/>
      <c r="D652" s="267"/>
      <c r="E652" s="267"/>
      <c r="F652" s="267"/>
      <c r="G652" s="267"/>
      <c r="H652" s="267"/>
      <c r="I652" s="258"/>
      <c r="J652" s="258"/>
      <c r="K652" s="258"/>
      <c r="L652" s="258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</row>
    <row r="653" spans="1:25" ht="20.25" customHeight="1">
      <c r="A653" s="267"/>
      <c r="B653" s="267"/>
      <c r="C653" s="267"/>
      <c r="D653" s="267"/>
      <c r="E653" s="267"/>
      <c r="F653" s="267"/>
      <c r="G653" s="267"/>
      <c r="H653" s="267"/>
      <c r="I653" s="258"/>
      <c r="J653" s="258"/>
      <c r="K653" s="258"/>
      <c r="L653" s="258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</row>
    <row r="654" spans="1:25" ht="20.25" customHeight="1">
      <c r="A654" s="267"/>
      <c r="B654" s="267"/>
      <c r="C654" s="267"/>
      <c r="D654" s="267"/>
      <c r="E654" s="267"/>
      <c r="F654" s="267"/>
      <c r="G654" s="267"/>
      <c r="H654" s="267"/>
      <c r="I654" s="258"/>
      <c r="J654" s="258"/>
      <c r="K654" s="258"/>
      <c r="L654" s="258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</row>
    <row r="655" spans="1:25" ht="20.25" customHeight="1">
      <c r="A655" s="267"/>
      <c r="B655" s="267"/>
      <c r="C655" s="267"/>
      <c r="D655" s="267"/>
      <c r="E655" s="267"/>
      <c r="F655" s="267"/>
      <c r="G655" s="267"/>
      <c r="H655" s="267"/>
      <c r="I655" s="258"/>
      <c r="J655" s="258"/>
      <c r="K655" s="258"/>
      <c r="L655" s="258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</row>
    <row r="656" spans="1:25" ht="20.25" customHeight="1">
      <c r="A656" s="267"/>
      <c r="B656" s="267"/>
      <c r="C656" s="267"/>
      <c r="D656" s="267"/>
      <c r="E656" s="267"/>
      <c r="F656" s="267"/>
      <c r="G656" s="267"/>
      <c r="H656" s="267"/>
      <c r="I656" s="258"/>
      <c r="J656" s="258"/>
      <c r="K656" s="258"/>
      <c r="L656" s="258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</row>
    <row r="657" spans="1:25" ht="20.25" customHeight="1">
      <c r="A657" s="267"/>
      <c r="B657" s="267"/>
      <c r="C657" s="267"/>
      <c r="D657" s="267"/>
      <c r="E657" s="267"/>
      <c r="F657" s="267"/>
      <c r="G657" s="267"/>
      <c r="H657" s="267"/>
      <c r="I657" s="258"/>
      <c r="J657" s="258"/>
      <c r="K657" s="258"/>
      <c r="L657" s="258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</row>
    <row r="658" spans="1:25" ht="20.25" customHeight="1">
      <c r="A658" s="267"/>
      <c r="B658" s="267"/>
      <c r="C658" s="267"/>
      <c r="D658" s="267"/>
      <c r="E658" s="267"/>
      <c r="F658" s="267"/>
      <c r="G658" s="267"/>
      <c r="H658" s="267"/>
      <c r="I658" s="258"/>
      <c r="J658" s="258"/>
      <c r="K658" s="258"/>
      <c r="L658" s="258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</row>
    <row r="659" spans="1:25" ht="20.25" customHeight="1">
      <c r="A659" s="267"/>
      <c r="B659" s="267"/>
      <c r="C659" s="267"/>
      <c r="D659" s="267"/>
      <c r="E659" s="267"/>
      <c r="F659" s="267"/>
      <c r="G659" s="267"/>
      <c r="H659" s="267"/>
      <c r="I659" s="258"/>
      <c r="J659" s="258"/>
      <c r="K659" s="258"/>
      <c r="L659" s="258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</row>
    <row r="660" spans="1:25" ht="20.25" customHeight="1">
      <c r="A660" s="267"/>
      <c r="B660" s="267"/>
      <c r="C660" s="267"/>
      <c r="D660" s="267"/>
      <c r="E660" s="267"/>
      <c r="F660" s="267"/>
      <c r="G660" s="267"/>
      <c r="H660" s="267"/>
      <c r="I660" s="258"/>
      <c r="J660" s="258"/>
      <c r="K660" s="258"/>
      <c r="L660" s="258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</row>
    <row r="661" spans="1:25" ht="20.25" customHeight="1">
      <c r="A661" s="267"/>
      <c r="B661" s="267"/>
      <c r="C661" s="267"/>
      <c r="D661" s="267"/>
      <c r="E661" s="267"/>
      <c r="F661" s="267"/>
      <c r="G661" s="267"/>
      <c r="H661" s="267"/>
      <c r="I661" s="258"/>
      <c r="J661" s="258"/>
      <c r="K661" s="258"/>
      <c r="L661" s="258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</row>
    <row r="662" spans="1:25" ht="20.25" customHeight="1">
      <c r="A662" s="267"/>
      <c r="B662" s="267"/>
      <c r="C662" s="267"/>
      <c r="D662" s="267"/>
      <c r="E662" s="267"/>
      <c r="F662" s="267"/>
      <c r="G662" s="267"/>
      <c r="H662" s="267"/>
      <c r="I662" s="258"/>
      <c r="J662" s="258"/>
      <c r="K662" s="258"/>
      <c r="L662" s="258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</row>
    <row r="663" spans="1:25" ht="20.25" customHeight="1">
      <c r="A663" s="267"/>
      <c r="B663" s="267"/>
      <c r="C663" s="267"/>
      <c r="D663" s="267"/>
      <c r="E663" s="267"/>
      <c r="F663" s="267"/>
      <c r="G663" s="267"/>
      <c r="H663" s="267"/>
      <c r="I663" s="258"/>
      <c r="J663" s="258"/>
      <c r="K663" s="258"/>
      <c r="L663" s="258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</row>
    <row r="664" spans="1:25" ht="20.25" customHeight="1">
      <c r="A664" s="267"/>
      <c r="B664" s="267"/>
      <c r="C664" s="267"/>
      <c r="D664" s="267"/>
      <c r="E664" s="267"/>
      <c r="F664" s="267"/>
      <c r="G664" s="267"/>
      <c r="H664" s="267"/>
      <c r="I664" s="258"/>
      <c r="J664" s="258"/>
      <c r="K664" s="258"/>
      <c r="L664" s="258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</row>
    <row r="665" spans="1:25" ht="20.25" customHeight="1">
      <c r="A665" s="267"/>
      <c r="B665" s="267"/>
      <c r="C665" s="267"/>
      <c r="D665" s="267"/>
      <c r="E665" s="267"/>
      <c r="F665" s="267"/>
      <c r="G665" s="267"/>
      <c r="H665" s="267"/>
      <c r="I665" s="258"/>
      <c r="J665" s="258"/>
      <c r="K665" s="258"/>
      <c r="L665" s="258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</row>
    <row r="666" spans="1:25" ht="20.25" customHeight="1">
      <c r="A666" s="267"/>
      <c r="B666" s="267"/>
      <c r="C666" s="267"/>
      <c r="D666" s="267"/>
      <c r="E666" s="267"/>
      <c r="F666" s="267"/>
      <c r="G666" s="267"/>
      <c r="H666" s="267"/>
      <c r="I666" s="258"/>
      <c r="J666" s="258"/>
      <c r="K666" s="258"/>
      <c r="L666" s="258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</row>
    <row r="667" spans="1:25" ht="20.25" customHeight="1">
      <c r="A667" s="267"/>
      <c r="B667" s="267"/>
      <c r="C667" s="267"/>
      <c r="D667" s="267"/>
      <c r="E667" s="267"/>
      <c r="F667" s="267"/>
      <c r="G667" s="267"/>
      <c r="H667" s="267"/>
      <c r="I667" s="258"/>
      <c r="J667" s="258"/>
      <c r="K667" s="258"/>
      <c r="L667" s="258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</row>
    <row r="668" spans="1:25" ht="20.25" customHeight="1">
      <c r="A668" s="267"/>
      <c r="B668" s="267"/>
      <c r="C668" s="267"/>
      <c r="D668" s="267"/>
      <c r="E668" s="267"/>
      <c r="F668" s="267"/>
      <c r="G668" s="267"/>
      <c r="H668" s="267"/>
      <c r="I668" s="258"/>
      <c r="J668" s="258"/>
      <c r="K668" s="258"/>
      <c r="L668" s="258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</row>
    <row r="669" spans="1:25" ht="20.25" customHeight="1">
      <c r="A669" s="267"/>
      <c r="B669" s="267"/>
      <c r="C669" s="267"/>
      <c r="D669" s="267"/>
      <c r="E669" s="267"/>
      <c r="F669" s="267"/>
      <c r="G669" s="267"/>
      <c r="H669" s="267"/>
      <c r="I669" s="258"/>
      <c r="J669" s="258"/>
      <c r="K669" s="258"/>
      <c r="L669" s="258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</row>
    <row r="670" spans="1:25" ht="20.25" customHeight="1">
      <c r="A670" s="267"/>
      <c r="B670" s="267"/>
      <c r="C670" s="267"/>
      <c r="D670" s="267"/>
      <c r="E670" s="267"/>
      <c r="F670" s="267"/>
      <c r="G670" s="267"/>
      <c r="H670" s="267"/>
      <c r="I670" s="258"/>
      <c r="J670" s="258"/>
      <c r="K670" s="258"/>
      <c r="L670" s="258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</row>
    <row r="671" spans="1:25" ht="20.25" customHeight="1">
      <c r="A671" s="267"/>
      <c r="B671" s="267"/>
      <c r="C671" s="267"/>
      <c r="D671" s="267"/>
      <c r="E671" s="267"/>
      <c r="F671" s="267"/>
      <c r="G671" s="267"/>
      <c r="H671" s="267"/>
      <c r="I671" s="258"/>
      <c r="J671" s="258"/>
      <c r="K671" s="258"/>
      <c r="L671" s="258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</row>
    <row r="672" spans="1:25" ht="20.25" customHeight="1">
      <c r="A672" s="267"/>
      <c r="B672" s="267"/>
      <c r="C672" s="267"/>
      <c r="D672" s="267"/>
      <c r="E672" s="267"/>
      <c r="F672" s="267"/>
      <c r="G672" s="267"/>
      <c r="H672" s="267"/>
      <c r="I672" s="258"/>
      <c r="J672" s="258"/>
      <c r="K672" s="258"/>
      <c r="L672" s="258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</row>
    <row r="673" spans="1:25" ht="20.25" customHeight="1">
      <c r="A673" s="267"/>
      <c r="B673" s="267"/>
      <c r="C673" s="267"/>
      <c r="D673" s="267"/>
      <c r="E673" s="267"/>
      <c r="F673" s="267"/>
      <c r="G673" s="267"/>
      <c r="H673" s="267"/>
      <c r="I673" s="258"/>
      <c r="J673" s="258"/>
      <c r="K673" s="258"/>
      <c r="L673" s="258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</row>
    <row r="674" spans="1:25" ht="20.25" customHeight="1">
      <c r="A674" s="267"/>
      <c r="B674" s="267"/>
      <c r="C674" s="267"/>
      <c r="D674" s="267"/>
      <c r="E674" s="267"/>
      <c r="F674" s="267"/>
      <c r="G674" s="267"/>
      <c r="H674" s="267"/>
      <c r="I674" s="258"/>
      <c r="J674" s="258"/>
      <c r="K674" s="258"/>
      <c r="L674" s="258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</row>
    <row r="675" spans="1:25" ht="20.25" customHeight="1">
      <c r="A675" s="267"/>
      <c r="B675" s="267"/>
      <c r="C675" s="267"/>
      <c r="D675" s="267"/>
      <c r="E675" s="267"/>
      <c r="F675" s="267"/>
      <c r="G675" s="267"/>
      <c r="H675" s="267"/>
      <c r="I675" s="258"/>
      <c r="J675" s="258"/>
      <c r="K675" s="258"/>
      <c r="L675" s="258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</row>
    <row r="676" spans="1:25" ht="20.25" customHeight="1">
      <c r="A676" s="267"/>
      <c r="B676" s="267"/>
      <c r="C676" s="267"/>
      <c r="D676" s="267"/>
      <c r="E676" s="267"/>
      <c r="F676" s="267"/>
      <c r="G676" s="267"/>
      <c r="H676" s="267"/>
      <c r="I676" s="258"/>
      <c r="J676" s="258"/>
      <c r="K676" s="258"/>
      <c r="L676" s="258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</row>
    <row r="677" spans="1:25" ht="20.25" customHeight="1">
      <c r="A677" s="267"/>
      <c r="B677" s="267"/>
      <c r="C677" s="267"/>
      <c r="D677" s="267"/>
      <c r="E677" s="267"/>
      <c r="F677" s="267"/>
      <c r="G677" s="267"/>
      <c r="H677" s="267"/>
      <c r="I677" s="258"/>
      <c r="J677" s="258"/>
      <c r="K677" s="258"/>
      <c r="L677" s="258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</row>
    <row r="678" spans="1:25" ht="20.25" customHeight="1">
      <c r="A678" s="267"/>
      <c r="B678" s="267"/>
      <c r="C678" s="267"/>
      <c r="D678" s="267"/>
      <c r="E678" s="267"/>
      <c r="F678" s="267"/>
      <c r="G678" s="267"/>
      <c r="H678" s="267"/>
      <c r="I678" s="258"/>
      <c r="J678" s="258"/>
      <c r="K678" s="258"/>
      <c r="L678" s="258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</row>
    <row r="679" spans="1:25" ht="20.25" customHeight="1">
      <c r="A679" s="267"/>
      <c r="B679" s="267"/>
      <c r="C679" s="267"/>
      <c r="D679" s="267"/>
      <c r="E679" s="267"/>
      <c r="F679" s="267"/>
      <c r="G679" s="267"/>
      <c r="H679" s="267"/>
      <c r="I679" s="258"/>
      <c r="J679" s="258"/>
      <c r="K679" s="258"/>
      <c r="L679" s="258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</row>
    <row r="680" spans="1:25" ht="20.25" customHeight="1">
      <c r="A680" s="267"/>
      <c r="B680" s="267"/>
      <c r="C680" s="267"/>
      <c r="D680" s="267"/>
      <c r="E680" s="267"/>
      <c r="F680" s="267"/>
      <c r="G680" s="267"/>
      <c r="H680" s="267"/>
      <c r="I680" s="258"/>
      <c r="J680" s="258"/>
      <c r="K680" s="258"/>
      <c r="L680" s="258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</row>
    <row r="681" spans="1:25" ht="20.25" customHeight="1">
      <c r="A681" s="267"/>
      <c r="B681" s="267"/>
      <c r="C681" s="267"/>
      <c r="D681" s="267"/>
      <c r="E681" s="267"/>
      <c r="F681" s="267"/>
      <c r="G681" s="267"/>
      <c r="H681" s="267"/>
      <c r="I681" s="258"/>
      <c r="J681" s="258"/>
      <c r="K681" s="258"/>
      <c r="L681" s="258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</row>
    <row r="682" spans="1:25" ht="20.25" customHeight="1">
      <c r="A682" s="267"/>
      <c r="B682" s="267"/>
      <c r="C682" s="267"/>
      <c r="D682" s="267"/>
      <c r="E682" s="267"/>
      <c r="F682" s="267"/>
      <c r="G682" s="267"/>
      <c r="H682" s="267"/>
      <c r="I682" s="258"/>
      <c r="J682" s="258"/>
      <c r="K682" s="258"/>
      <c r="L682" s="258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</row>
    <row r="683" spans="1:25" ht="20.25" customHeight="1">
      <c r="A683" s="267"/>
      <c r="B683" s="267"/>
      <c r="C683" s="267"/>
      <c r="D683" s="267"/>
      <c r="E683" s="267"/>
      <c r="F683" s="267"/>
      <c r="G683" s="267"/>
      <c r="H683" s="267"/>
      <c r="I683" s="258"/>
      <c r="J683" s="258"/>
      <c r="K683" s="258"/>
      <c r="L683" s="258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</row>
    <row r="684" spans="1:25" ht="20.25" customHeight="1">
      <c r="A684" s="267"/>
      <c r="B684" s="267"/>
      <c r="C684" s="267"/>
      <c r="D684" s="267"/>
      <c r="E684" s="267"/>
      <c r="F684" s="267"/>
      <c r="G684" s="267"/>
      <c r="H684" s="267"/>
      <c r="I684" s="258"/>
      <c r="J684" s="258"/>
      <c r="K684" s="258"/>
      <c r="L684" s="258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</row>
    <row r="685" spans="1:25" ht="20.25" customHeight="1">
      <c r="A685" s="267"/>
      <c r="B685" s="267"/>
      <c r="C685" s="267"/>
      <c r="D685" s="267"/>
      <c r="E685" s="267"/>
      <c r="F685" s="267"/>
      <c r="G685" s="267"/>
      <c r="H685" s="267"/>
      <c r="I685" s="258"/>
      <c r="J685" s="258"/>
      <c r="K685" s="258"/>
      <c r="L685" s="258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</row>
    <row r="686" spans="1:25" ht="20.25" customHeight="1">
      <c r="A686" s="267"/>
      <c r="B686" s="267"/>
      <c r="C686" s="267"/>
      <c r="D686" s="267"/>
      <c r="E686" s="267"/>
      <c r="F686" s="267"/>
      <c r="G686" s="267"/>
      <c r="H686" s="267"/>
      <c r="I686" s="258"/>
      <c r="J686" s="258"/>
      <c r="K686" s="258"/>
      <c r="L686" s="258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</row>
    <row r="687" spans="1:25" ht="20.25" customHeight="1">
      <c r="A687" s="267"/>
      <c r="B687" s="267"/>
      <c r="C687" s="267"/>
      <c r="D687" s="267"/>
      <c r="E687" s="267"/>
      <c r="F687" s="267"/>
      <c r="G687" s="267"/>
      <c r="H687" s="267"/>
      <c r="I687" s="258"/>
      <c r="J687" s="258"/>
      <c r="K687" s="258"/>
      <c r="L687" s="258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</row>
    <row r="688" spans="1:25" ht="20.25" customHeight="1">
      <c r="A688" s="267"/>
      <c r="B688" s="267"/>
      <c r="C688" s="267"/>
      <c r="D688" s="267"/>
      <c r="E688" s="267"/>
      <c r="F688" s="267"/>
      <c r="G688" s="267"/>
      <c r="H688" s="267"/>
      <c r="I688" s="258"/>
      <c r="J688" s="258"/>
      <c r="K688" s="258"/>
      <c r="L688" s="258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</row>
    <row r="689" spans="1:25" ht="20.25" customHeight="1">
      <c r="A689" s="267"/>
      <c r="B689" s="267"/>
      <c r="C689" s="267"/>
      <c r="D689" s="267"/>
      <c r="E689" s="267"/>
      <c r="F689" s="267"/>
      <c r="G689" s="267"/>
      <c r="H689" s="267"/>
      <c r="I689" s="258"/>
      <c r="J689" s="258"/>
      <c r="K689" s="258"/>
      <c r="L689" s="258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</row>
    <row r="690" spans="1:25" ht="20.25" customHeight="1">
      <c r="A690" s="267"/>
      <c r="B690" s="267"/>
      <c r="C690" s="267"/>
      <c r="D690" s="267"/>
      <c r="E690" s="267"/>
      <c r="F690" s="267"/>
      <c r="G690" s="267"/>
      <c r="H690" s="267"/>
      <c r="I690" s="258"/>
      <c r="J690" s="258"/>
      <c r="K690" s="258"/>
      <c r="L690" s="258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</row>
    <row r="691" spans="1:25" ht="20.25" customHeight="1">
      <c r="A691" s="267"/>
      <c r="B691" s="267"/>
      <c r="C691" s="267"/>
      <c r="D691" s="267"/>
      <c r="E691" s="267"/>
      <c r="F691" s="267"/>
      <c r="G691" s="267"/>
      <c r="H691" s="267"/>
      <c r="I691" s="258"/>
      <c r="J691" s="258"/>
      <c r="K691" s="258"/>
      <c r="L691" s="258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</row>
    <row r="692" spans="1:25" ht="20.25" customHeight="1">
      <c r="A692" s="267"/>
      <c r="B692" s="267"/>
      <c r="C692" s="267"/>
      <c r="D692" s="267"/>
      <c r="E692" s="267"/>
      <c r="F692" s="267"/>
      <c r="G692" s="267"/>
      <c r="H692" s="267"/>
      <c r="I692" s="258"/>
      <c r="J692" s="258"/>
      <c r="K692" s="258"/>
      <c r="L692" s="258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</row>
    <row r="693" spans="1:25" ht="20.25" customHeight="1">
      <c r="A693" s="267"/>
      <c r="B693" s="267"/>
      <c r="C693" s="267"/>
      <c r="D693" s="267"/>
      <c r="E693" s="267"/>
      <c r="F693" s="267"/>
      <c r="G693" s="267"/>
      <c r="H693" s="267"/>
      <c r="I693" s="258"/>
      <c r="J693" s="258"/>
      <c r="K693" s="258"/>
      <c r="L693" s="258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</row>
    <row r="694" spans="1:25" ht="20.25" customHeight="1">
      <c r="A694" s="267"/>
      <c r="B694" s="267"/>
      <c r="C694" s="267"/>
      <c r="D694" s="267"/>
      <c r="E694" s="267"/>
      <c r="F694" s="267"/>
      <c r="G694" s="267"/>
      <c r="H694" s="267"/>
      <c r="I694" s="258"/>
      <c r="J694" s="258"/>
      <c r="K694" s="258"/>
      <c r="L694" s="258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</row>
    <row r="695" spans="1:25" ht="20.25" customHeight="1">
      <c r="A695" s="267"/>
      <c r="B695" s="267"/>
      <c r="C695" s="267"/>
      <c r="D695" s="267"/>
      <c r="E695" s="267"/>
      <c r="F695" s="267"/>
      <c r="G695" s="267"/>
      <c r="H695" s="267"/>
      <c r="I695" s="258"/>
      <c r="J695" s="258"/>
      <c r="K695" s="258"/>
      <c r="L695" s="258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</row>
    <row r="696" spans="1:25" ht="20.25" customHeight="1">
      <c r="A696" s="267"/>
      <c r="B696" s="267"/>
      <c r="C696" s="267"/>
      <c r="D696" s="267"/>
      <c r="E696" s="267"/>
      <c r="F696" s="267"/>
      <c r="G696" s="267"/>
      <c r="H696" s="267"/>
      <c r="I696" s="258"/>
      <c r="J696" s="258"/>
      <c r="K696" s="258"/>
      <c r="L696" s="258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</row>
    <row r="697" spans="1:25" ht="20.25" customHeight="1">
      <c r="A697" s="267"/>
      <c r="B697" s="267"/>
      <c r="C697" s="267"/>
      <c r="D697" s="267"/>
      <c r="E697" s="267"/>
      <c r="F697" s="267"/>
      <c r="G697" s="267"/>
      <c r="H697" s="267"/>
      <c r="I697" s="258"/>
      <c r="J697" s="258"/>
      <c r="K697" s="258"/>
      <c r="L697" s="258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</row>
    <row r="698" spans="1:25" ht="20.25" customHeight="1">
      <c r="A698" s="267"/>
      <c r="B698" s="267"/>
      <c r="C698" s="267"/>
      <c r="D698" s="267"/>
      <c r="E698" s="267"/>
      <c r="F698" s="267"/>
      <c r="G698" s="267"/>
      <c r="H698" s="267"/>
      <c r="I698" s="258"/>
      <c r="J698" s="258"/>
      <c r="K698" s="258"/>
      <c r="L698" s="258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</row>
    <row r="699" spans="1:25" ht="20.25" customHeight="1">
      <c r="A699" s="267"/>
      <c r="B699" s="267"/>
      <c r="C699" s="267"/>
      <c r="D699" s="267"/>
      <c r="E699" s="267"/>
      <c r="F699" s="267"/>
      <c r="G699" s="267"/>
      <c r="H699" s="267"/>
      <c r="I699" s="258"/>
      <c r="J699" s="258"/>
      <c r="K699" s="258"/>
      <c r="L699" s="258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</row>
    <row r="700" spans="1:25" ht="20.25" customHeight="1">
      <c r="A700" s="267"/>
      <c r="B700" s="267"/>
      <c r="C700" s="267"/>
      <c r="D700" s="267"/>
      <c r="E700" s="267"/>
      <c r="F700" s="267"/>
      <c r="G700" s="267"/>
      <c r="H700" s="267"/>
      <c r="I700" s="258"/>
      <c r="J700" s="258"/>
      <c r="K700" s="258"/>
      <c r="L700" s="258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</row>
    <row r="701" spans="1:25" ht="20.25" customHeight="1">
      <c r="A701" s="267"/>
      <c r="B701" s="267"/>
      <c r="C701" s="267"/>
      <c r="D701" s="267"/>
      <c r="E701" s="267"/>
      <c r="F701" s="267"/>
      <c r="G701" s="267"/>
      <c r="H701" s="267"/>
      <c r="I701" s="258"/>
      <c r="J701" s="258"/>
      <c r="K701" s="258"/>
      <c r="L701" s="258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</row>
    <row r="702" spans="1:25" ht="20.25" customHeight="1">
      <c r="A702" s="267"/>
      <c r="B702" s="267"/>
      <c r="C702" s="267"/>
      <c r="D702" s="267"/>
      <c r="E702" s="267"/>
      <c r="F702" s="267"/>
      <c r="G702" s="267"/>
      <c r="H702" s="267"/>
      <c r="I702" s="258"/>
      <c r="J702" s="258"/>
      <c r="K702" s="258"/>
      <c r="L702" s="258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</row>
    <row r="703" spans="1:25" ht="20.25" customHeight="1">
      <c r="A703" s="267"/>
      <c r="B703" s="267"/>
      <c r="C703" s="267"/>
      <c r="D703" s="267"/>
      <c r="E703" s="267"/>
      <c r="F703" s="267"/>
      <c r="G703" s="267"/>
      <c r="H703" s="267"/>
      <c r="I703" s="258"/>
      <c r="J703" s="258"/>
      <c r="K703" s="258"/>
      <c r="L703" s="258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</row>
    <row r="704" spans="1:25" ht="20.25" customHeight="1">
      <c r="A704" s="267"/>
      <c r="B704" s="267"/>
      <c r="C704" s="267"/>
      <c r="D704" s="267"/>
      <c r="E704" s="267"/>
      <c r="F704" s="267"/>
      <c r="G704" s="267"/>
      <c r="H704" s="267"/>
      <c r="I704" s="258"/>
      <c r="J704" s="258"/>
      <c r="K704" s="258"/>
      <c r="L704" s="258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</row>
    <row r="705" spans="1:25" ht="20.25" customHeight="1">
      <c r="A705" s="267"/>
      <c r="B705" s="267"/>
      <c r="C705" s="267"/>
      <c r="D705" s="267"/>
      <c r="E705" s="267"/>
      <c r="F705" s="267"/>
      <c r="G705" s="267"/>
      <c r="H705" s="267"/>
      <c r="I705" s="258"/>
      <c r="J705" s="258"/>
      <c r="K705" s="258"/>
      <c r="L705" s="258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</row>
    <row r="706" spans="1:25" ht="20.25" customHeight="1">
      <c r="A706" s="267"/>
      <c r="B706" s="267"/>
      <c r="C706" s="267"/>
      <c r="D706" s="267"/>
      <c r="E706" s="267"/>
      <c r="F706" s="267"/>
      <c r="G706" s="267"/>
      <c r="H706" s="267"/>
      <c r="I706" s="258"/>
      <c r="J706" s="258"/>
      <c r="K706" s="258"/>
      <c r="L706" s="258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</row>
    <row r="707" spans="1:25" ht="20.25" customHeight="1">
      <c r="A707" s="267"/>
      <c r="B707" s="267"/>
      <c r="C707" s="267"/>
      <c r="D707" s="267"/>
      <c r="E707" s="267"/>
      <c r="F707" s="267"/>
      <c r="G707" s="267"/>
      <c r="H707" s="267"/>
      <c r="I707" s="258"/>
      <c r="J707" s="258"/>
      <c r="K707" s="258"/>
      <c r="L707" s="258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</row>
    <row r="708" spans="1:25" ht="20.25" customHeight="1">
      <c r="A708" s="267"/>
      <c r="B708" s="267"/>
      <c r="C708" s="267"/>
      <c r="D708" s="267"/>
      <c r="E708" s="267"/>
      <c r="F708" s="267"/>
      <c r="G708" s="267"/>
      <c r="H708" s="267"/>
      <c r="I708" s="258"/>
      <c r="J708" s="258"/>
      <c r="K708" s="258"/>
      <c r="L708" s="258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</row>
    <row r="709" spans="1:25" ht="20.25" customHeight="1">
      <c r="A709" s="267"/>
      <c r="B709" s="267"/>
      <c r="C709" s="267"/>
      <c r="D709" s="267"/>
      <c r="E709" s="267"/>
      <c r="F709" s="267"/>
      <c r="G709" s="267"/>
      <c r="H709" s="267"/>
      <c r="I709" s="258"/>
      <c r="J709" s="258"/>
      <c r="K709" s="258"/>
      <c r="L709" s="258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</row>
    <row r="710" spans="1:25" ht="20.25" customHeight="1">
      <c r="A710" s="267"/>
      <c r="B710" s="267"/>
      <c r="C710" s="267"/>
      <c r="D710" s="267"/>
      <c r="E710" s="267"/>
      <c r="F710" s="267"/>
      <c r="G710" s="267"/>
      <c r="H710" s="267"/>
      <c r="I710" s="258"/>
      <c r="J710" s="258"/>
      <c r="K710" s="258"/>
      <c r="L710" s="258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</row>
    <row r="711" spans="1:25" ht="20.25" customHeight="1">
      <c r="A711" s="267"/>
      <c r="B711" s="267"/>
      <c r="C711" s="267"/>
      <c r="D711" s="267"/>
      <c r="E711" s="267"/>
      <c r="F711" s="267"/>
      <c r="G711" s="267"/>
      <c r="H711" s="267"/>
      <c r="I711" s="258"/>
      <c r="J711" s="258"/>
      <c r="K711" s="258"/>
      <c r="L711" s="258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</row>
    <row r="712" spans="1:25" ht="20.25" customHeight="1">
      <c r="A712" s="267"/>
      <c r="B712" s="267"/>
      <c r="C712" s="267"/>
      <c r="D712" s="267"/>
      <c r="E712" s="267"/>
      <c r="F712" s="267"/>
      <c r="G712" s="267"/>
      <c r="H712" s="267"/>
      <c r="I712" s="258"/>
      <c r="J712" s="258"/>
      <c r="K712" s="258"/>
      <c r="L712" s="258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</row>
    <row r="713" spans="1:25" ht="20.25" customHeight="1">
      <c r="A713" s="267"/>
      <c r="B713" s="267"/>
      <c r="C713" s="267"/>
      <c r="D713" s="267"/>
      <c r="E713" s="267"/>
      <c r="F713" s="267"/>
      <c r="G713" s="267"/>
      <c r="H713" s="267"/>
      <c r="I713" s="258"/>
      <c r="J713" s="258"/>
      <c r="K713" s="258"/>
      <c r="L713" s="258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</row>
    <row r="714" spans="1:25" ht="20.25" customHeight="1">
      <c r="A714" s="267"/>
      <c r="B714" s="267"/>
      <c r="C714" s="267"/>
      <c r="D714" s="267"/>
      <c r="E714" s="267"/>
      <c r="F714" s="267"/>
      <c r="G714" s="267"/>
      <c r="H714" s="267"/>
      <c r="I714" s="258"/>
      <c r="J714" s="258"/>
      <c r="K714" s="258"/>
      <c r="L714" s="258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</row>
    <row r="715" spans="1:25" ht="20.25" customHeight="1">
      <c r="A715" s="267"/>
      <c r="B715" s="267"/>
      <c r="C715" s="267"/>
      <c r="D715" s="267"/>
      <c r="E715" s="267"/>
      <c r="F715" s="267"/>
      <c r="G715" s="267"/>
      <c r="H715" s="267"/>
      <c r="I715" s="258"/>
      <c r="J715" s="258"/>
      <c r="K715" s="258"/>
      <c r="L715" s="258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</row>
    <row r="716" spans="1:25" ht="20.25" customHeight="1">
      <c r="A716" s="267"/>
      <c r="B716" s="267"/>
      <c r="C716" s="267"/>
      <c r="D716" s="267"/>
      <c r="E716" s="267"/>
      <c r="F716" s="267"/>
      <c r="G716" s="267"/>
      <c r="H716" s="267"/>
      <c r="I716" s="258"/>
      <c r="J716" s="258"/>
      <c r="K716" s="258"/>
      <c r="L716" s="258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</row>
    <row r="717" spans="1:25" ht="20.25" customHeight="1">
      <c r="A717" s="267"/>
      <c r="B717" s="267"/>
      <c r="C717" s="267"/>
      <c r="D717" s="267"/>
      <c r="E717" s="267"/>
      <c r="F717" s="267"/>
      <c r="G717" s="267"/>
      <c r="H717" s="267"/>
      <c r="I717" s="258"/>
      <c r="J717" s="258"/>
      <c r="K717" s="258"/>
      <c r="L717" s="258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</row>
    <row r="718" spans="1:25" ht="20.25" customHeight="1">
      <c r="A718" s="267"/>
      <c r="B718" s="267"/>
      <c r="C718" s="267"/>
      <c r="D718" s="267"/>
      <c r="E718" s="267"/>
      <c r="F718" s="267"/>
      <c r="G718" s="267"/>
      <c r="H718" s="267"/>
      <c r="I718" s="258"/>
      <c r="J718" s="258"/>
      <c r="K718" s="258"/>
      <c r="L718" s="258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</row>
    <row r="719" spans="1:25" ht="20.25" customHeight="1">
      <c r="A719" s="267"/>
      <c r="B719" s="267"/>
      <c r="C719" s="267"/>
      <c r="D719" s="267"/>
      <c r="E719" s="267"/>
      <c r="F719" s="267"/>
      <c r="G719" s="267"/>
      <c r="H719" s="267"/>
      <c r="I719" s="258"/>
      <c r="J719" s="258"/>
      <c r="K719" s="258"/>
      <c r="L719" s="258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</row>
    <row r="720" spans="1:25" ht="20.25" customHeight="1">
      <c r="A720" s="267"/>
      <c r="B720" s="267"/>
      <c r="C720" s="267"/>
      <c r="D720" s="267"/>
      <c r="E720" s="267"/>
      <c r="F720" s="267"/>
      <c r="G720" s="267"/>
      <c r="H720" s="267"/>
      <c r="I720" s="258"/>
      <c r="J720" s="258"/>
      <c r="K720" s="258"/>
      <c r="L720" s="258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</row>
    <row r="721" spans="1:25" ht="20.25" customHeight="1">
      <c r="A721" s="267"/>
      <c r="B721" s="267"/>
      <c r="C721" s="267"/>
      <c r="D721" s="267"/>
      <c r="E721" s="267"/>
      <c r="F721" s="267"/>
      <c r="G721" s="267"/>
      <c r="H721" s="267"/>
      <c r="I721" s="258"/>
      <c r="J721" s="258"/>
      <c r="K721" s="258"/>
      <c r="L721" s="258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</row>
    <row r="722" spans="1:25" ht="20.25" customHeight="1">
      <c r="A722" s="267"/>
      <c r="B722" s="267"/>
      <c r="C722" s="267"/>
      <c r="D722" s="267"/>
      <c r="E722" s="267"/>
      <c r="F722" s="267"/>
      <c r="G722" s="267"/>
      <c r="H722" s="267"/>
      <c r="I722" s="258"/>
      <c r="J722" s="258"/>
      <c r="K722" s="258"/>
      <c r="L722" s="258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</row>
    <row r="723" spans="1:25" ht="20.25" customHeight="1">
      <c r="A723" s="267"/>
      <c r="B723" s="267"/>
      <c r="C723" s="267"/>
      <c r="D723" s="267"/>
      <c r="E723" s="267"/>
      <c r="F723" s="267"/>
      <c r="G723" s="267"/>
      <c r="H723" s="267"/>
      <c r="I723" s="258"/>
      <c r="J723" s="258"/>
      <c r="K723" s="258"/>
      <c r="L723" s="258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</row>
    <row r="724" spans="1:25" ht="20.25" customHeight="1">
      <c r="A724" s="267"/>
      <c r="B724" s="267"/>
      <c r="C724" s="267"/>
      <c r="D724" s="267"/>
      <c r="E724" s="267"/>
      <c r="F724" s="267"/>
      <c r="G724" s="267"/>
      <c r="H724" s="267"/>
      <c r="I724" s="258"/>
      <c r="J724" s="258"/>
      <c r="K724" s="258"/>
      <c r="L724" s="258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</row>
    <row r="725" spans="1:25" ht="20.25" customHeight="1">
      <c r="A725" s="267"/>
      <c r="B725" s="267"/>
      <c r="C725" s="267"/>
      <c r="D725" s="267"/>
      <c r="E725" s="267"/>
      <c r="F725" s="267"/>
      <c r="G725" s="267"/>
      <c r="H725" s="267"/>
      <c r="I725" s="258"/>
      <c r="J725" s="258"/>
      <c r="K725" s="258"/>
      <c r="L725" s="258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</row>
    <row r="726" spans="1:25" ht="20.25" customHeight="1">
      <c r="A726" s="267"/>
      <c r="B726" s="267"/>
      <c r="C726" s="267"/>
      <c r="D726" s="267"/>
      <c r="E726" s="267"/>
      <c r="F726" s="267"/>
      <c r="G726" s="267"/>
      <c r="H726" s="267"/>
      <c r="I726" s="258"/>
      <c r="J726" s="258"/>
      <c r="K726" s="258"/>
      <c r="L726" s="258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</row>
    <row r="727" spans="1:25" ht="20.25" customHeight="1">
      <c r="A727" s="267"/>
      <c r="B727" s="267"/>
      <c r="C727" s="267"/>
      <c r="D727" s="267"/>
      <c r="E727" s="267"/>
      <c r="F727" s="267"/>
      <c r="G727" s="267"/>
      <c r="H727" s="267"/>
      <c r="I727" s="258"/>
      <c r="J727" s="258"/>
      <c r="K727" s="258"/>
      <c r="L727" s="258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</row>
    <row r="728" spans="1:25" ht="20.25" customHeight="1">
      <c r="A728" s="267"/>
      <c r="B728" s="267"/>
      <c r="C728" s="267"/>
      <c r="D728" s="267"/>
      <c r="E728" s="267"/>
      <c r="F728" s="267"/>
      <c r="G728" s="267"/>
      <c r="H728" s="267"/>
      <c r="I728" s="258"/>
      <c r="J728" s="258"/>
      <c r="K728" s="258"/>
      <c r="L728" s="258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</row>
    <row r="729" spans="1:25" ht="20.25" customHeight="1">
      <c r="A729" s="267"/>
      <c r="B729" s="267"/>
      <c r="C729" s="267"/>
      <c r="D729" s="267"/>
      <c r="E729" s="267"/>
      <c r="F729" s="267"/>
      <c r="G729" s="267"/>
      <c r="H729" s="267"/>
      <c r="I729" s="258"/>
      <c r="J729" s="258"/>
      <c r="K729" s="258"/>
      <c r="L729" s="258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</row>
    <row r="730" spans="1:25" ht="20.25" customHeight="1">
      <c r="A730" s="267"/>
      <c r="B730" s="267"/>
      <c r="C730" s="267"/>
      <c r="D730" s="267"/>
      <c r="E730" s="267"/>
      <c r="F730" s="267"/>
      <c r="G730" s="267"/>
      <c r="H730" s="267"/>
      <c r="I730" s="258"/>
      <c r="J730" s="258"/>
      <c r="K730" s="258"/>
      <c r="L730" s="258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</row>
    <row r="731" spans="1:25" ht="20.25" customHeight="1">
      <c r="A731" s="267"/>
      <c r="B731" s="267"/>
      <c r="C731" s="267"/>
      <c r="D731" s="267"/>
      <c r="E731" s="267"/>
      <c r="F731" s="267"/>
      <c r="G731" s="267"/>
      <c r="H731" s="267"/>
      <c r="I731" s="258"/>
      <c r="J731" s="258"/>
      <c r="K731" s="258"/>
      <c r="L731" s="258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</row>
    <row r="732" spans="1:25" ht="20.25" customHeight="1">
      <c r="A732" s="267"/>
      <c r="B732" s="267"/>
      <c r="C732" s="267"/>
      <c r="D732" s="267"/>
      <c r="E732" s="267"/>
      <c r="F732" s="267"/>
      <c r="G732" s="267"/>
      <c r="H732" s="267"/>
      <c r="I732" s="258"/>
      <c r="J732" s="258"/>
      <c r="K732" s="258"/>
      <c r="L732" s="258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</row>
    <row r="733" spans="1:25" ht="20.25" customHeight="1">
      <c r="A733" s="267"/>
      <c r="B733" s="267"/>
      <c r="C733" s="267"/>
      <c r="D733" s="267"/>
      <c r="E733" s="267"/>
      <c r="F733" s="267"/>
      <c r="G733" s="267"/>
      <c r="H733" s="267"/>
      <c r="I733" s="258"/>
      <c r="J733" s="258"/>
      <c r="K733" s="258"/>
      <c r="L733" s="258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</row>
    <row r="734" spans="1:25" ht="20.25" customHeight="1">
      <c r="A734" s="267"/>
      <c r="B734" s="267"/>
      <c r="C734" s="267"/>
      <c r="D734" s="267"/>
      <c r="E734" s="267"/>
      <c r="F734" s="267"/>
      <c r="G734" s="267"/>
      <c r="H734" s="267"/>
      <c r="I734" s="258"/>
      <c r="J734" s="258"/>
      <c r="K734" s="258"/>
      <c r="L734" s="258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</row>
    <row r="735" spans="1:25" ht="20.25" customHeight="1">
      <c r="A735" s="267"/>
      <c r="B735" s="267"/>
      <c r="C735" s="267"/>
      <c r="D735" s="267"/>
      <c r="E735" s="267"/>
      <c r="F735" s="267"/>
      <c r="G735" s="267"/>
      <c r="H735" s="267"/>
      <c r="I735" s="258"/>
      <c r="J735" s="258"/>
      <c r="K735" s="258"/>
      <c r="L735" s="258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</row>
    <row r="736" spans="1:25" ht="20.25" customHeight="1">
      <c r="A736" s="267"/>
      <c r="B736" s="267"/>
      <c r="C736" s="267"/>
      <c r="D736" s="267"/>
      <c r="E736" s="267"/>
      <c r="F736" s="267"/>
      <c r="G736" s="267"/>
      <c r="H736" s="267"/>
      <c r="I736" s="258"/>
      <c r="J736" s="258"/>
      <c r="K736" s="258"/>
      <c r="L736" s="258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</row>
    <row r="737" spans="1:25" ht="20.25" customHeight="1">
      <c r="A737" s="267"/>
      <c r="B737" s="267"/>
      <c r="C737" s="267"/>
      <c r="D737" s="267"/>
      <c r="E737" s="267"/>
      <c r="F737" s="267"/>
      <c r="G737" s="267"/>
      <c r="H737" s="267"/>
      <c r="I737" s="258"/>
      <c r="J737" s="258"/>
      <c r="K737" s="258"/>
      <c r="L737" s="258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</row>
    <row r="738" spans="1:25" ht="20.25" customHeight="1">
      <c r="A738" s="267"/>
      <c r="B738" s="267"/>
      <c r="C738" s="267"/>
      <c r="D738" s="267"/>
      <c r="E738" s="267"/>
      <c r="F738" s="267"/>
      <c r="G738" s="267"/>
      <c r="H738" s="267"/>
      <c r="I738" s="258"/>
      <c r="J738" s="258"/>
      <c r="K738" s="258"/>
      <c r="L738" s="258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</row>
    <row r="739" spans="1:25" ht="20.25" customHeight="1">
      <c r="A739" s="267"/>
      <c r="B739" s="267"/>
      <c r="C739" s="267"/>
      <c r="D739" s="267"/>
      <c r="E739" s="267"/>
      <c r="F739" s="267"/>
      <c r="G739" s="267"/>
      <c r="H739" s="267"/>
      <c r="I739" s="258"/>
      <c r="J739" s="258"/>
      <c r="K739" s="258"/>
      <c r="L739" s="258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</row>
    <row r="740" spans="1:25" ht="20.25" customHeight="1">
      <c r="A740" s="267"/>
      <c r="B740" s="267"/>
      <c r="C740" s="267"/>
      <c r="D740" s="267"/>
      <c r="E740" s="267"/>
      <c r="F740" s="267"/>
      <c r="G740" s="267"/>
      <c r="H740" s="267"/>
      <c r="I740" s="258"/>
      <c r="J740" s="258"/>
      <c r="K740" s="258"/>
      <c r="L740" s="258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</row>
    <row r="741" spans="1:25" ht="20.25" customHeight="1">
      <c r="A741" s="267"/>
      <c r="B741" s="267"/>
      <c r="C741" s="267"/>
      <c r="D741" s="267"/>
      <c r="E741" s="267"/>
      <c r="F741" s="267"/>
      <c r="G741" s="267"/>
      <c r="H741" s="267"/>
      <c r="I741" s="258"/>
      <c r="J741" s="258"/>
      <c r="K741" s="258"/>
      <c r="L741" s="258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</row>
    <row r="742" spans="1:25" ht="20.25" customHeight="1">
      <c r="A742" s="267"/>
      <c r="B742" s="267"/>
      <c r="C742" s="267"/>
      <c r="D742" s="267"/>
      <c r="E742" s="267"/>
      <c r="F742" s="267"/>
      <c r="G742" s="267"/>
      <c r="H742" s="267"/>
      <c r="I742" s="258"/>
      <c r="J742" s="258"/>
      <c r="K742" s="258"/>
      <c r="L742" s="258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</row>
    <row r="743" spans="1:25" ht="20.25" customHeight="1">
      <c r="A743" s="267"/>
      <c r="B743" s="267"/>
      <c r="C743" s="267"/>
      <c r="D743" s="267"/>
      <c r="E743" s="267"/>
      <c r="F743" s="267"/>
      <c r="G743" s="267"/>
      <c r="H743" s="267"/>
      <c r="I743" s="258"/>
      <c r="J743" s="258"/>
      <c r="K743" s="258"/>
      <c r="L743" s="258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</row>
    <row r="744" spans="1:25" ht="20.25" customHeight="1">
      <c r="A744" s="267"/>
      <c r="B744" s="267"/>
      <c r="C744" s="267"/>
      <c r="D744" s="267"/>
      <c r="E744" s="267"/>
      <c r="F744" s="267"/>
      <c r="G744" s="267"/>
      <c r="H744" s="267"/>
      <c r="I744" s="258"/>
      <c r="J744" s="258"/>
      <c r="K744" s="258"/>
      <c r="L744" s="258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</row>
    <row r="745" spans="1:25" ht="20.25" customHeight="1">
      <c r="A745" s="267"/>
      <c r="B745" s="267"/>
      <c r="C745" s="267"/>
      <c r="D745" s="267"/>
      <c r="E745" s="267"/>
      <c r="F745" s="267"/>
      <c r="G745" s="267"/>
      <c r="H745" s="267"/>
      <c r="I745" s="258"/>
      <c r="J745" s="258"/>
      <c r="K745" s="258"/>
      <c r="L745" s="258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</row>
    <row r="746" spans="1:25" ht="20.25" customHeight="1">
      <c r="A746" s="267"/>
      <c r="B746" s="267"/>
      <c r="C746" s="267"/>
      <c r="D746" s="267"/>
      <c r="E746" s="267"/>
      <c r="F746" s="267"/>
      <c r="G746" s="267"/>
      <c r="H746" s="267"/>
      <c r="I746" s="258"/>
      <c r="J746" s="258"/>
      <c r="K746" s="258"/>
      <c r="L746" s="258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</row>
    <row r="747" spans="1:25" ht="20.25" customHeight="1">
      <c r="A747" s="267"/>
      <c r="B747" s="267"/>
      <c r="C747" s="267"/>
      <c r="D747" s="267"/>
      <c r="E747" s="267"/>
      <c r="F747" s="267"/>
      <c r="G747" s="267"/>
      <c r="H747" s="267"/>
      <c r="I747" s="258"/>
      <c r="J747" s="258"/>
      <c r="K747" s="258"/>
      <c r="L747" s="258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</row>
    <row r="748" spans="1:25" ht="20.25" customHeight="1">
      <c r="A748" s="267"/>
      <c r="B748" s="267"/>
      <c r="C748" s="267"/>
      <c r="D748" s="267"/>
      <c r="E748" s="267"/>
      <c r="F748" s="267"/>
      <c r="G748" s="267"/>
      <c r="H748" s="267"/>
      <c r="I748" s="258"/>
      <c r="J748" s="258"/>
      <c r="K748" s="258"/>
      <c r="L748" s="258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</row>
    <row r="749" spans="1:25" ht="20.25" customHeight="1">
      <c r="A749" s="267"/>
      <c r="B749" s="267"/>
      <c r="C749" s="267"/>
      <c r="D749" s="267"/>
      <c r="E749" s="267"/>
      <c r="F749" s="267"/>
      <c r="G749" s="267"/>
      <c r="H749" s="267"/>
      <c r="I749" s="258"/>
      <c r="J749" s="258"/>
      <c r="K749" s="258"/>
      <c r="L749" s="258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</row>
    <row r="750" spans="1:25" ht="20.25" customHeight="1">
      <c r="A750" s="267"/>
      <c r="B750" s="267"/>
      <c r="C750" s="267"/>
      <c r="D750" s="267"/>
      <c r="E750" s="267"/>
      <c r="F750" s="267"/>
      <c r="G750" s="267"/>
      <c r="H750" s="267"/>
      <c r="I750" s="258"/>
      <c r="J750" s="258"/>
      <c r="K750" s="258"/>
      <c r="L750" s="258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</row>
    <row r="751" spans="1:25" ht="20.25" customHeight="1">
      <c r="A751" s="267"/>
      <c r="B751" s="267"/>
      <c r="C751" s="267"/>
      <c r="D751" s="267"/>
      <c r="E751" s="267"/>
      <c r="F751" s="267"/>
      <c r="G751" s="267"/>
      <c r="H751" s="267"/>
      <c r="I751" s="258"/>
      <c r="J751" s="258"/>
      <c r="K751" s="258"/>
      <c r="L751" s="258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</row>
    <row r="752" spans="1:25" ht="20.25" customHeight="1">
      <c r="A752" s="267"/>
      <c r="B752" s="267"/>
      <c r="C752" s="267"/>
      <c r="D752" s="267"/>
      <c r="E752" s="267"/>
      <c r="F752" s="267"/>
      <c r="G752" s="267"/>
      <c r="H752" s="267"/>
      <c r="I752" s="258"/>
      <c r="J752" s="258"/>
      <c r="K752" s="258"/>
      <c r="L752" s="258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</row>
    <row r="753" spans="1:25" ht="20.25" customHeight="1">
      <c r="A753" s="267"/>
      <c r="B753" s="267"/>
      <c r="C753" s="267"/>
      <c r="D753" s="267"/>
      <c r="E753" s="267"/>
      <c r="F753" s="267"/>
      <c r="G753" s="267"/>
      <c r="H753" s="267"/>
      <c r="I753" s="258"/>
      <c r="J753" s="258"/>
      <c r="K753" s="258"/>
      <c r="L753" s="258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</row>
    <row r="754" spans="1:25" ht="20.25" customHeight="1">
      <c r="A754" s="267"/>
      <c r="B754" s="267"/>
      <c r="C754" s="267"/>
      <c r="D754" s="267"/>
      <c r="E754" s="267"/>
      <c r="F754" s="267"/>
      <c r="G754" s="267"/>
      <c r="H754" s="267"/>
      <c r="I754" s="258"/>
      <c r="J754" s="258"/>
      <c r="K754" s="258"/>
      <c r="L754" s="258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</row>
    <row r="755" spans="1:25" ht="20.25" customHeight="1">
      <c r="A755" s="267"/>
      <c r="B755" s="267"/>
      <c r="C755" s="267"/>
      <c r="D755" s="267"/>
      <c r="E755" s="267"/>
      <c r="F755" s="267"/>
      <c r="G755" s="267"/>
      <c r="H755" s="267"/>
      <c r="I755" s="258"/>
      <c r="J755" s="258"/>
      <c r="K755" s="258"/>
      <c r="L755" s="258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</row>
    <row r="756" spans="1:25" ht="20.25" customHeight="1">
      <c r="A756" s="267"/>
      <c r="B756" s="267"/>
      <c r="C756" s="267"/>
      <c r="D756" s="267"/>
      <c r="E756" s="267"/>
      <c r="F756" s="267"/>
      <c r="G756" s="267"/>
      <c r="H756" s="267"/>
      <c r="I756" s="258"/>
      <c r="J756" s="258"/>
      <c r="K756" s="258"/>
      <c r="L756" s="258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</row>
    <row r="757" spans="1:25" ht="20.25" customHeight="1">
      <c r="A757" s="267"/>
      <c r="B757" s="267"/>
      <c r="C757" s="267"/>
      <c r="D757" s="267"/>
      <c r="E757" s="267"/>
      <c r="F757" s="267"/>
      <c r="G757" s="267"/>
      <c r="H757" s="267"/>
      <c r="I757" s="258"/>
      <c r="J757" s="258"/>
      <c r="K757" s="258"/>
      <c r="L757" s="258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</row>
    <row r="758" spans="1:25" ht="20.25" customHeight="1">
      <c r="A758" s="267"/>
      <c r="B758" s="267"/>
      <c r="C758" s="267"/>
      <c r="D758" s="267"/>
      <c r="E758" s="267"/>
      <c r="F758" s="267"/>
      <c r="G758" s="267"/>
      <c r="H758" s="267"/>
      <c r="I758" s="258"/>
      <c r="J758" s="258"/>
      <c r="K758" s="258"/>
      <c r="L758" s="258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</row>
    <row r="759" spans="1:25" ht="20.25" customHeight="1">
      <c r="A759" s="267"/>
      <c r="B759" s="267"/>
      <c r="C759" s="267"/>
      <c r="D759" s="267"/>
      <c r="E759" s="267"/>
      <c r="F759" s="267"/>
      <c r="G759" s="267"/>
      <c r="H759" s="267"/>
      <c r="I759" s="258"/>
      <c r="J759" s="258"/>
      <c r="K759" s="258"/>
      <c r="L759" s="258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</row>
    <row r="760" spans="1:25" ht="20.25" customHeight="1">
      <c r="A760" s="267"/>
      <c r="B760" s="267"/>
      <c r="C760" s="267"/>
      <c r="D760" s="267"/>
      <c r="E760" s="267"/>
      <c r="F760" s="267"/>
      <c r="G760" s="267"/>
      <c r="H760" s="267"/>
      <c r="I760" s="258"/>
      <c r="J760" s="258"/>
      <c r="K760" s="258"/>
      <c r="L760" s="258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</row>
    <row r="761" spans="1:25" ht="20.25" customHeight="1">
      <c r="A761" s="267"/>
      <c r="B761" s="267"/>
      <c r="C761" s="267"/>
      <c r="D761" s="267"/>
      <c r="E761" s="267"/>
      <c r="F761" s="267"/>
      <c r="G761" s="267"/>
      <c r="H761" s="267"/>
      <c r="I761" s="258"/>
      <c r="J761" s="258"/>
      <c r="K761" s="258"/>
      <c r="L761" s="258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</row>
    <row r="762" spans="1:25" ht="20.25" customHeight="1">
      <c r="A762" s="267"/>
      <c r="B762" s="267"/>
      <c r="C762" s="267"/>
      <c r="D762" s="267"/>
      <c r="E762" s="267"/>
      <c r="F762" s="267"/>
      <c r="G762" s="267"/>
      <c r="H762" s="267"/>
      <c r="I762" s="258"/>
      <c r="J762" s="258"/>
      <c r="K762" s="258"/>
      <c r="L762" s="258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</row>
    <row r="763" spans="1:25" ht="20.25" customHeight="1">
      <c r="A763" s="267"/>
      <c r="B763" s="267"/>
      <c r="C763" s="267"/>
      <c r="D763" s="267"/>
      <c r="E763" s="267"/>
      <c r="F763" s="267"/>
      <c r="G763" s="267"/>
      <c r="H763" s="267"/>
      <c r="I763" s="258"/>
      <c r="J763" s="258"/>
      <c r="K763" s="258"/>
      <c r="L763" s="258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</row>
    <row r="764" spans="1:25" ht="20.25" customHeight="1">
      <c r="A764" s="267"/>
      <c r="B764" s="267"/>
      <c r="C764" s="267"/>
      <c r="D764" s="267"/>
      <c r="E764" s="267"/>
      <c r="F764" s="267"/>
      <c r="G764" s="267"/>
      <c r="H764" s="267"/>
      <c r="I764" s="258"/>
      <c r="J764" s="258"/>
      <c r="K764" s="258"/>
      <c r="L764" s="258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</row>
    <row r="765" spans="1:25" ht="20.25" customHeight="1">
      <c r="A765" s="267"/>
      <c r="B765" s="267"/>
      <c r="C765" s="267"/>
      <c r="D765" s="267"/>
      <c r="E765" s="267"/>
      <c r="F765" s="267"/>
      <c r="G765" s="267"/>
      <c r="H765" s="267"/>
      <c r="I765" s="258"/>
      <c r="J765" s="258"/>
      <c r="K765" s="258"/>
      <c r="L765" s="258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</row>
    <row r="766" spans="1:25" ht="20.25" customHeight="1">
      <c r="A766" s="267"/>
      <c r="B766" s="267"/>
      <c r="C766" s="267"/>
      <c r="D766" s="267"/>
      <c r="E766" s="267"/>
      <c r="F766" s="267"/>
      <c r="G766" s="267"/>
      <c r="H766" s="267"/>
      <c r="I766" s="258"/>
      <c r="J766" s="258"/>
      <c r="K766" s="258"/>
      <c r="L766" s="258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</row>
    <row r="767" spans="1:25" ht="20.25" customHeight="1">
      <c r="A767" s="267"/>
      <c r="B767" s="267"/>
      <c r="C767" s="267"/>
      <c r="D767" s="267"/>
      <c r="E767" s="267"/>
      <c r="F767" s="267"/>
      <c r="G767" s="267"/>
      <c r="H767" s="267"/>
      <c r="I767" s="258"/>
      <c r="J767" s="258"/>
      <c r="K767" s="258"/>
      <c r="L767" s="258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</row>
    <row r="768" spans="1:25" ht="20.25" customHeight="1">
      <c r="A768" s="267"/>
      <c r="B768" s="267"/>
      <c r="C768" s="267"/>
      <c r="D768" s="267"/>
      <c r="E768" s="267"/>
      <c r="F768" s="267"/>
      <c r="G768" s="267"/>
      <c r="H768" s="267"/>
      <c r="I768" s="258"/>
      <c r="J768" s="258"/>
      <c r="K768" s="258"/>
      <c r="L768" s="258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</row>
    <row r="769" spans="1:25" ht="20.25" customHeight="1">
      <c r="A769" s="267"/>
      <c r="B769" s="267"/>
      <c r="C769" s="267"/>
      <c r="D769" s="267"/>
      <c r="E769" s="267"/>
      <c r="F769" s="267"/>
      <c r="G769" s="267"/>
      <c r="H769" s="267"/>
      <c r="I769" s="258"/>
      <c r="J769" s="258"/>
      <c r="K769" s="258"/>
      <c r="L769" s="258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</row>
    <row r="770" spans="1:25" ht="20.25" customHeight="1">
      <c r="A770" s="267"/>
      <c r="B770" s="267"/>
      <c r="C770" s="267"/>
      <c r="D770" s="267"/>
      <c r="E770" s="267"/>
      <c r="F770" s="267"/>
      <c r="G770" s="267"/>
      <c r="H770" s="267"/>
      <c r="I770" s="258"/>
      <c r="J770" s="258"/>
      <c r="K770" s="258"/>
      <c r="L770" s="258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</row>
    <row r="771" spans="1:25" ht="20.25" customHeight="1">
      <c r="A771" s="267"/>
      <c r="B771" s="267"/>
      <c r="C771" s="267"/>
      <c r="D771" s="267"/>
      <c r="E771" s="267"/>
      <c r="F771" s="267"/>
      <c r="G771" s="267"/>
      <c r="H771" s="267"/>
      <c r="I771" s="258"/>
      <c r="J771" s="258"/>
      <c r="K771" s="258"/>
      <c r="L771" s="258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</row>
    <row r="772" spans="1:25" ht="20.25" customHeight="1">
      <c r="A772" s="267"/>
      <c r="B772" s="267"/>
      <c r="C772" s="267"/>
      <c r="D772" s="267"/>
      <c r="E772" s="267"/>
      <c r="F772" s="267"/>
      <c r="G772" s="267"/>
      <c r="H772" s="267"/>
      <c r="I772" s="258"/>
      <c r="J772" s="258"/>
      <c r="K772" s="258"/>
      <c r="L772" s="258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</row>
    <row r="773" spans="1:25" ht="20.25" customHeight="1">
      <c r="A773" s="267"/>
      <c r="B773" s="267"/>
      <c r="C773" s="267"/>
      <c r="D773" s="267"/>
      <c r="E773" s="267"/>
      <c r="F773" s="267"/>
      <c r="G773" s="267"/>
      <c r="H773" s="267"/>
      <c r="I773" s="258"/>
      <c r="J773" s="258"/>
      <c r="K773" s="258"/>
      <c r="L773" s="258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</row>
    <row r="774" spans="1:25" ht="20.25" customHeight="1">
      <c r="A774" s="267"/>
      <c r="B774" s="267"/>
      <c r="C774" s="267"/>
      <c r="D774" s="267"/>
      <c r="E774" s="267"/>
      <c r="F774" s="267"/>
      <c r="G774" s="267"/>
      <c r="H774" s="267"/>
      <c r="I774" s="258"/>
      <c r="J774" s="258"/>
      <c r="K774" s="258"/>
      <c r="L774" s="258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</row>
    <row r="775" spans="1:25" ht="20.25" customHeight="1">
      <c r="A775" s="267"/>
      <c r="B775" s="267"/>
      <c r="C775" s="267"/>
      <c r="D775" s="267"/>
      <c r="E775" s="267"/>
      <c r="F775" s="267"/>
      <c r="G775" s="267"/>
      <c r="H775" s="267"/>
      <c r="I775" s="258"/>
      <c r="J775" s="258"/>
      <c r="K775" s="258"/>
      <c r="L775" s="258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</row>
    <row r="776" spans="1:25" ht="20.25" customHeight="1">
      <c r="A776" s="267"/>
      <c r="B776" s="267"/>
      <c r="C776" s="267"/>
      <c r="D776" s="267"/>
      <c r="E776" s="267"/>
      <c r="F776" s="267"/>
      <c r="G776" s="267"/>
      <c r="H776" s="267"/>
      <c r="I776" s="258"/>
      <c r="J776" s="258"/>
      <c r="K776" s="258"/>
      <c r="L776" s="258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</row>
    <row r="777" spans="1:25" ht="20.25" customHeight="1">
      <c r="A777" s="267"/>
      <c r="B777" s="267"/>
      <c r="C777" s="267"/>
      <c r="D777" s="267"/>
      <c r="E777" s="267"/>
      <c r="F777" s="267"/>
      <c r="G777" s="267"/>
      <c r="H777" s="267"/>
      <c r="I777" s="258"/>
      <c r="J777" s="258"/>
      <c r="K777" s="258"/>
      <c r="L777" s="258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</row>
    <row r="778" spans="1:25" ht="20.25" customHeight="1">
      <c r="A778" s="267"/>
      <c r="B778" s="267"/>
      <c r="C778" s="267"/>
      <c r="D778" s="267"/>
      <c r="E778" s="267"/>
      <c r="F778" s="267"/>
      <c r="G778" s="267"/>
      <c r="H778" s="267"/>
      <c r="I778" s="258"/>
      <c r="J778" s="258"/>
      <c r="K778" s="258"/>
      <c r="L778" s="258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</row>
    <row r="779" spans="1:25" ht="20.25" customHeight="1">
      <c r="A779" s="267"/>
      <c r="B779" s="267"/>
      <c r="C779" s="267"/>
      <c r="D779" s="267"/>
      <c r="E779" s="267"/>
      <c r="F779" s="267"/>
      <c r="G779" s="267"/>
      <c r="H779" s="267"/>
      <c r="I779" s="258"/>
      <c r="J779" s="258"/>
      <c r="K779" s="258"/>
      <c r="L779" s="258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</row>
    <row r="780" spans="1:25" ht="20.25" customHeight="1">
      <c r="A780" s="267"/>
      <c r="B780" s="267"/>
      <c r="C780" s="267"/>
      <c r="D780" s="267"/>
      <c r="E780" s="267"/>
      <c r="F780" s="267"/>
      <c r="G780" s="267"/>
      <c r="H780" s="267"/>
      <c r="I780" s="258"/>
      <c r="J780" s="258"/>
      <c r="K780" s="258"/>
      <c r="L780" s="258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</row>
    <row r="781" spans="1:25" ht="20.25" customHeight="1">
      <c r="A781" s="267"/>
      <c r="B781" s="267"/>
      <c r="C781" s="267"/>
      <c r="D781" s="267"/>
      <c r="E781" s="267"/>
      <c r="F781" s="267"/>
      <c r="G781" s="267"/>
      <c r="H781" s="267"/>
      <c r="I781" s="258"/>
      <c r="J781" s="258"/>
      <c r="K781" s="258"/>
      <c r="L781" s="258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</row>
    <row r="782" spans="1:25" ht="20.25" customHeight="1">
      <c r="A782" s="267"/>
      <c r="B782" s="267"/>
      <c r="C782" s="267"/>
      <c r="D782" s="267"/>
      <c r="E782" s="267"/>
      <c r="F782" s="267"/>
      <c r="G782" s="267"/>
      <c r="H782" s="267"/>
      <c r="I782" s="258"/>
      <c r="J782" s="258"/>
      <c r="K782" s="258"/>
      <c r="L782" s="258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</row>
    <row r="783" spans="1:25" ht="20.25" customHeight="1">
      <c r="A783" s="267"/>
      <c r="B783" s="267"/>
      <c r="C783" s="267"/>
      <c r="D783" s="267"/>
      <c r="E783" s="267"/>
      <c r="F783" s="267"/>
      <c r="G783" s="267"/>
      <c r="H783" s="267"/>
      <c r="I783" s="258"/>
      <c r="J783" s="258"/>
      <c r="K783" s="258"/>
      <c r="L783" s="258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</row>
    <row r="784" spans="1:25" ht="20.25" customHeight="1">
      <c r="A784" s="267"/>
      <c r="B784" s="267"/>
      <c r="C784" s="267"/>
      <c r="D784" s="267"/>
      <c r="E784" s="267"/>
      <c r="F784" s="267"/>
      <c r="G784" s="267"/>
      <c r="H784" s="267"/>
      <c r="I784" s="258"/>
      <c r="J784" s="258"/>
      <c r="K784" s="258"/>
      <c r="L784" s="258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</row>
    <row r="785" spans="1:25" ht="20.25" customHeight="1">
      <c r="A785" s="267"/>
      <c r="B785" s="267"/>
      <c r="C785" s="267"/>
      <c r="D785" s="267"/>
      <c r="E785" s="267"/>
      <c r="F785" s="267"/>
      <c r="G785" s="267"/>
      <c r="H785" s="267"/>
      <c r="I785" s="258"/>
      <c r="J785" s="258"/>
      <c r="K785" s="258"/>
      <c r="L785" s="258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</row>
    <row r="786" spans="1:25" ht="20.25" customHeight="1">
      <c r="A786" s="267"/>
      <c r="B786" s="267"/>
      <c r="C786" s="267"/>
      <c r="D786" s="267"/>
      <c r="E786" s="267"/>
      <c r="F786" s="267"/>
      <c r="G786" s="267"/>
      <c r="H786" s="267"/>
      <c r="I786" s="258"/>
      <c r="J786" s="258"/>
      <c r="K786" s="258"/>
      <c r="L786" s="258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</row>
    <row r="787" spans="1:25" ht="20.25" customHeight="1">
      <c r="A787" s="267"/>
      <c r="B787" s="267"/>
      <c r="C787" s="267"/>
      <c r="D787" s="267"/>
      <c r="E787" s="267"/>
      <c r="F787" s="267"/>
      <c r="G787" s="267"/>
      <c r="H787" s="267"/>
      <c r="I787" s="258"/>
      <c r="J787" s="258"/>
      <c r="K787" s="258"/>
      <c r="L787" s="258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</row>
    <row r="788" spans="1:25" ht="20.25" customHeight="1">
      <c r="A788" s="267"/>
      <c r="B788" s="267"/>
      <c r="C788" s="267"/>
      <c r="D788" s="267"/>
      <c r="E788" s="267"/>
      <c r="F788" s="267"/>
      <c r="G788" s="267"/>
      <c r="H788" s="267"/>
      <c r="I788" s="258"/>
      <c r="J788" s="258"/>
      <c r="K788" s="258"/>
      <c r="L788" s="258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</row>
    <row r="789" spans="1:25" ht="20.25" customHeight="1">
      <c r="A789" s="267"/>
      <c r="B789" s="267"/>
      <c r="C789" s="267"/>
      <c r="D789" s="267"/>
      <c r="E789" s="267"/>
      <c r="F789" s="267"/>
      <c r="G789" s="267"/>
      <c r="H789" s="267"/>
      <c r="I789" s="258"/>
      <c r="J789" s="258"/>
      <c r="K789" s="258"/>
      <c r="L789" s="258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</row>
    <row r="790" spans="1:25" ht="20.25" customHeight="1">
      <c r="A790" s="267"/>
      <c r="B790" s="267"/>
      <c r="C790" s="267"/>
      <c r="D790" s="267"/>
      <c r="E790" s="267"/>
      <c r="F790" s="267"/>
      <c r="G790" s="267"/>
      <c r="H790" s="267"/>
      <c r="I790" s="258"/>
      <c r="J790" s="258"/>
      <c r="K790" s="258"/>
      <c r="L790" s="258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</row>
    <row r="791" spans="1:25" ht="20.25" customHeight="1">
      <c r="A791" s="267"/>
      <c r="B791" s="267"/>
      <c r="C791" s="267"/>
      <c r="D791" s="267"/>
      <c r="E791" s="267"/>
      <c r="F791" s="267"/>
      <c r="G791" s="267"/>
      <c r="H791" s="267"/>
      <c r="I791" s="258"/>
      <c r="J791" s="258"/>
      <c r="K791" s="258"/>
      <c r="L791" s="258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</row>
    <row r="792" spans="1:25" ht="20.25" customHeight="1">
      <c r="A792" s="267"/>
      <c r="B792" s="267"/>
      <c r="C792" s="267"/>
      <c r="D792" s="267"/>
      <c r="E792" s="267"/>
      <c r="F792" s="267"/>
      <c r="G792" s="267"/>
      <c r="H792" s="267"/>
      <c r="I792" s="258"/>
      <c r="J792" s="258"/>
      <c r="K792" s="258"/>
      <c r="L792" s="258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</row>
    <row r="793" spans="1:25" ht="20.25" customHeight="1">
      <c r="A793" s="267"/>
      <c r="B793" s="267"/>
      <c r="C793" s="267"/>
      <c r="D793" s="267"/>
      <c r="E793" s="267"/>
      <c r="F793" s="267"/>
      <c r="G793" s="267"/>
      <c r="H793" s="267"/>
      <c r="I793" s="258"/>
      <c r="J793" s="258"/>
      <c r="K793" s="258"/>
      <c r="L793" s="258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</row>
    <row r="794" spans="1:25" ht="20.25" customHeight="1">
      <c r="A794" s="267"/>
      <c r="B794" s="267"/>
      <c r="C794" s="267"/>
      <c r="D794" s="267"/>
      <c r="E794" s="267"/>
      <c r="F794" s="267"/>
      <c r="G794" s="267"/>
      <c r="H794" s="267"/>
      <c r="I794" s="258"/>
      <c r="J794" s="258"/>
      <c r="K794" s="258"/>
      <c r="L794" s="258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</row>
    <row r="795" spans="1:25" ht="20.25" customHeight="1">
      <c r="A795" s="267"/>
      <c r="B795" s="267"/>
      <c r="C795" s="267"/>
      <c r="D795" s="267"/>
      <c r="E795" s="267"/>
      <c r="F795" s="267"/>
      <c r="G795" s="267"/>
      <c r="H795" s="267"/>
      <c r="I795" s="258"/>
      <c r="J795" s="258"/>
      <c r="K795" s="258"/>
      <c r="L795" s="258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</row>
    <row r="796" spans="1:25" ht="20.25" customHeight="1">
      <c r="A796" s="267"/>
      <c r="B796" s="267"/>
      <c r="C796" s="267"/>
      <c r="D796" s="267"/>
      <c r="E796" s="267"/>
      <c r="F796" s="267"/>
      <c r="G796" s="267"/>
      <c r="H796" s="267"/>
      <c r="I796" s="258"/>
      <c r="J796" s="258"/>
      <c r="K796" s="258"/>
      <c r="L796" s="258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</row>
    <row r="797" spans="1:25" ht="20.25" customHeight="1">
      <c r="A797" s="267"/>
      <c r="B797" s="267"/>
      <c r="C797" s="267"/>
      <c r="D797" s="267"/>
      <c r="E797" s="267"/>
      <c r="F797" s="267"/>
      <c r="G797" s="267"/>
      <c r="H797" s="267"/>
      <c r="I797" s="258"/>
      <c r="J797" s="258"/>
      <c r="K797" s="258"/>
      <c r="L797" s="258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</row>
    <row r="798" spans="1:25" ht="20.25" customHeight="1">
      <c r="A798" s="267"/>
      <c r="B798" s="267"/>
      <c r="C798" s="267"/>
      <c r="D798" s="267"/>
      <c r="E798" s="267"/>
      <c r="F798" s="267"/>
      <c r="G798" s="267"/>
      <c r="H798" s="267"/>
      <c r="I798" s="258"/>
      <c r="J798" s="258"/>
      <c r="K798" s="258"/>
      <c r="L798" s="258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</row>
    <row r="799" spans="1:25" ht="20.25" customHeight="1">
      <c r="A799" s="267"/>
      <c r="B799" s="267"/>
      <c r="C799" s="267"/>
      <c r="D799" s="267"/>
      <c r="E799" s="267"/>
      <c r="F799" s="267"/>
      <c r="G799" s="267"/>
      <c r="H799" s="267"/>
      <c r="I799" s="258"/>
      <c r="J799" s="258"/>
      <c r="K799" s="258"/>
      <c r="L799" s="258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</row>
    <row r="800" spans="1:25" ht="20.25" customHeight="1">
      <c r="A800" s="267"/>
      <c r="B800" s="267"/>
      <c r="C800" s="267"/>
      <c r="D800" s="267"/>
      <c r="E800" s="267"/>
      <c r="F800" s="267"/>
      <c r="G800" s="267"/>
      <c r="H800" s="267"/>
      <c r="I800" s="258"/>
      <c r="J800" s="258"/>
      <c r="K800" s="258"/>
      <c r="L800" s="258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</row>
    <row r="801" spans="1:25" ht="20.25" customHeight="1">
      <c r="A801" s="267"/>
      <c r="B801" s="267"/>
      <c r="C801" s="267"/>
      <c r="D801" s="267"/>
      <c r="E801" s="267"/>
      <c r="F801" s="267"/>
      <c r="G801" s="267"/>
      <c r="H801" s="267"/>
      <c r="I801" s="258"/>
      <c r="J801" s="258"/>
      <c r="K801" s="258"/>
      <c r="L801" s="258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</row>
    <row r="802" spans="1:25" ht="20.25" customHeight="1">
      <c r="A802" s="267"/>
      <c r="B802" s="267"/>
      <c r="C802" s="267"/>
      <c r="D802" s="267"/>
      <c r="E802" s="267"/>
      <c r="F802" s="267"/>
      <c r="G802" s="267"/>
      <c r="H802" s="267"/>
      <c r="I802" s="258"/>
      <c r="J802" s="258"/>
      <c r="K802" s="258"/>
      <c r="L802" s="258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</row>
    <row r="803" spans="1:25" ht="20.25" customHeight="1">
      <c r="A803" s="267"/>
      <c r="B803" s="267"/>
      <c r="C803" s="267"/>
      <c r="D803" s="267"/>
      <c r="E803" s="267"/>
      <c r="F803" s="267"/>
      <c r="G803" s="267"/>
      <c r="H803" s="267"/>
      <c r="I803" s="258"/>
      <c r="J803" s="258"/>
      <c r="K803" s="258"/>
      <c r="L803" s="258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</row>
    <row r="804" spans="1:25" ht="20.25" customHeight="1">
      <c r="A804" s="267"/>
      <c r="B804" s="267"/>
      <c r="C804" s="267"/>
      <c r="D804" s="267"/>
      <c r="E804" s="267"/>
      <c r="F804" s="267"/>
      <c r="G804" s="267"/>
      <c r="H804" s="267"/>
      <c r="I804" s="258"/>
      <c r="J804" s="258"/>
      <c r="K804" s="258"/>
      <c r="L804" s="258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</row>
    <row r="805" spans="1:25" ht="20.25" customHeight="1">
      <c r="A805" s="267"/>
      <c r="B805" s="267"/>
      <c r="C805" s="267"/>
      <c r="D805" s="267"/>
      <c r="E805" s="267"/>
      <c r="F805" s="267"/>
      <c r="G805" s="267"/>
      <c r="H805" s="267"/>
      <c r="I805" s="258"/>
      <c r="J805" s="258"/>
      <c r="K805" s="258"/>
      <c r="L805" s="258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</row>
    <row r="806" spans="1:25" ht="20.25" customHeight="1">
      <c r="A806" s="267"/>
      <c r="B806" s="267"/>
      <c r="C806" s="267"/>
      <c r="D806" s="267"/>
      <c r="E806" s="267"/>
      <c r="F806" s="267"/>
      <c r="G806" s="267"/>
      <c r="H806" s="267"/>
      <c r="I806" s="258"/>
      <c r="J806" s="258"/>
      <c r="K806" s="258"/>
      <c r="L806" s="258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</row>
    <row r="807" spans="1:25" ht="20.25" customHeight="1">
      <c r="A807" s="267"/>
      <c r="B807" s="267"/>
      <c r="C807" s="267"/>
      <c r="D807" s="267"/>
      <c r="E807" s="267"/>
      <c r="F807" s="267"/>
      <c r="G807" s="267"/>
      <c r="H807" s="267"/>
      <c r="I807" s="258"/>
      <c r="J807" s="258"/>
      <c r="K807" s="258"/>
      <c r="L807" s="258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</row>
    <row r="808" spans="1:25" ht="20.25" customHeight="1">
      <c r="A808" s="267"/>
      <c r="B808" s="267"/>
      <c r="C808" s="267"/>
      <c r="D808" s="267"/>
      <c r="E808" s="267"/>
      <c r="F808" s="267"/>
      <c r="G808" s="267"/>
      <c r="H808" s="267"/>
      <c r="I808" s="258"/>
      <c r="J808" s="258"/>
      <c r="K808" s="258"/>
      <c r="L808" s="258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</row>
    <row r="809" spans="1:25" ht="20.25" customHeight="1">
      <c r="A809" s="267"/>
      <c r="B809" s="267"/>
      <c r="C809" s="267"/>
      <c r="D809" s="267"/>
      <c r="E809" s="267"/>
      <c r="F809" s="267"/>
      <c r="G809" s="267"/>
      <c r="H809" s="267"/>
      <c r="I809" s="258"/>
      <c r="J809" s="258"/>
      <c r="K809" s="258"/>
      <c r="L809" s="258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</row>
    <row r="810" spans="1:25" ht="20.25" customHeight="1">
      <c r="A810" s="267"/>
      <c r="B810" s="267"/>
      <c r="C810" s="267"/>
      <c r="D810" s="267"/>
      <c r="E810" s="267"/>
      <c r="F810" s="267"/>
      <c r="G810" s="267"/>
      <c r="H810" s="267"/>
      <c r="I810" s="258"/>
      <c r="J810" s="258"/>
      <c r="K810" s="258"/>
      <c r="L810" s="258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</row>
    <row r="811" spans="1:25" ht="20.25" customHeight="1">
      <c r="A811" s="267"/>
      <c r="B811" s="267"/>
      <c r="C811" s="267"/>
      <c r="D811" s="267"/>
      <c r="E811" s="267"/>
      <c r="F811" s="267"/>
      <c r="G811" s="267"/>
      <c r="H811" s="267"/>
      <c r="I811" s="258"/>
      <c r="J811" s="258"/>
      <c r="K811" s="258"/>
      <c r="L811" s="258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</row>
    <row r="812" spans="1:25" ht="20.25" customHeight="1">
      <c r="A812" s="267"/>
      <c r="B812" s="267"/>
      <c r="C812" s="267"/>
      <c r="D812" s="267"/>
      <c r="E812" s="267"/>
      <c r="F812" s="267"/>
      <c r="G812" s="267"/>
      <c r="H812" s="267"/>
      <c r="I812" s="258"/>
      <c r="J812" s="258"/>
      <c r="K812" s="258"/>
      <c r="L812" s="258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</row>
    <row r="813" spans="1:25" ht="20.25" customHeight="1">
      <c r="A813" s="267"/>
      <c r="B813" s="267"/>
      <c r="C813" s="267"/>
      <c r="D813" s="267"/>
      <c r="E813" s="267"/>
      <c r="F813" s="267"/>
      <c r="G813" s="267"/>
      <c r="H813" s="267"/>
      <c r="I813" s="258"/>
      <c r="J813" s="258"/>
      <c r="K813" s="258"/>
      <c r="L813" s="258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</row>
    <row r="814" spans="1:25" ht="20.25" customHeight="1">
      <c r="A814" s="267"/>
      <c r="B814" s="267"/>
      <c r="C814" s="267"/>
      <c r="D814" s="267"/>
      <c r="E814" s="267"/>
      <c r="F814" s="267"/>
      <c r="G814" s="267"/>
      <c r="H814" s="267"/>
      <c r="I814" s="258"/>
      <c r="J814" s="258"/>
      <c r="K814" s="258"/>
      <c r="L814" s="258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</row>
    <row r="815" spans="1:25" ht="20.25" customHeight="1">
      <c r="A815" s="267"/>
      <c r="B815" s="267"/>
      <c r="C815" s="267"/>
      <c r="D815" s="267"/>
      <c r="E815" s="267"/>
      <c r="F815" s="267"/>
      <c r="G815" s="267"/>
      <c r="H815" s="267"/>
      <c r="I815" s="258"/>
      <c r="J815" s="258"/>
      <c r="K815" s="258"/>
      <c r="L815" s="258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</row>
    <row r="816" spans="1:25" ht="20.25" customHeight="1">
      <c r="A816" s="267"/>
      <c r="B816" s="267"/>
      <c r="C816" s="267"/>
      <c r="D816" s="267"/>
      <c r="E816" s="267"/>
      <c r="F816" s="267"/>
      <c r="G816" s="267"/>
      <c r="H816" s="267"/>
      <c r="I816" s="258"/>
      <c r="J816" s="258"/>
      <c r="K816" s="258"/>
      <c r="L816" s="258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</row>
    <row r="817" spans="1:25" ht="20.25" customHeight="1">
      <c r="A817" s="267"/>
      <c r="B817" s="267"/>
      <c r="C817" s="267"/>
      <c r="D817" s="267"/>
      <c r="E817" s="267"/>
      <c r="F817" s="267"/>
      <c r="G817" s="267"/>
      <c r="H817" s="267"/>
      <c r="I817" s="258"/>
      <c r="J817" s="258"/>
      <c r="K817" s="258"/>
      <c r="L817" s="258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</row>
    <row r="818" spans="1:25" ht="20.25" customHeight="1">
      <c r="A818" s="267"/>
      <c r="B818" s="267"/>
      <c r="C818" s="267"/>
      <c r="D818" s="267"/>
      <c r="E818" s="267"/>
      <c r="F818" s="267"/>
      <c r="G818" s="267"/>
      <c r="H818" s="267"/>
      <c r="I818" s="258"/>
      <c r="J818" s="258"/>
      <c r="K818" s="258"/>
      <c r="L818" s="258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</row>
    <row r="819" spans="1:25" ht="20.25" customHeight="1">
      <c r="A819" s="267"/>
      <c r="B819" s="267"/>
      <c r="C819" s="267"/>
      <c r="D819" s="267"/>
      <c r="E819" s="267"/>
      <c r="F819" s="267"/>
      <c r="G819" s="267"/>
      <c r="H819" s="267"/>
      <c r="I819" s="258"/>
      <c r="J819" s="258"/>
      <c r="K819" s="258"/>
      <c r="L819" s="258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</row>
    <row r="820" spans="1:25" ht="20.25" customHeight="1">
      <c r="A820" s="267"/>
      <c r="B820" s="267"/>
      <c r="C820" s="267"/>
      <c r="D820" s="267"/>
      <c r="E820" s="267"/>
      <c r="F820" s="267"/>
      <c r="G820" s="267"/>
      <c r="H820" s="267"/>
      <c r="I820" s="258"/>
      <c r="J820" s="258"/>
      <c r="K820" s="258"/>
      <c r="L820" s="258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</row>
    <row r="821" spans="1:25" ht="20.25" customHeight="1">
      <c r="A821" s="267"/>
      <c r="B821" s="267"/>
      <c r="C821" s="267"/>
      <c r="D821" s="267"/>
      <c r="E821" s="267"/>
      <c r="F821" s="267"/>
      <c r="G821" s="267"/>
      <c r="H821" s="267"/>
      <c r="I821" s="258"/>
      <c r="J821" s="258"/>
      <c r="K821" s="258"/>
      <c r="L821" s="258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</row>
    <row r="822" spans="1:25" ht="20.25" customHeight="1">
      <c r="A822" s="267"/>
      <c r="B822" s="267"/>
      <c r="C822" s="267"/>
      <c r="D822" s="267"/>
      <c r="E822" s="267"/>
      <c r="F822" s="267"/>
      <c r="G822" s="267"/>
      <c r="H822" s="267"/>
      <c r="I822" s="258"/>
      <c r="J822" s="258"/>
      <c r="K822" s="258"/>
      <c r="L822" s="258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</row>
    <row r="823" spans="1:25" ht="20.25" customHeight="1">
      <c r="A823" s="267"/>
      <c r="B823" s="267"/>
      <c r="C823" s="267"/>
      <c r="D823" s="267"/>
      <c r="E823" s="267"/>
      <c r="F823" s="267"/>
      <c r="G823" s="267"/>
      <c r="H823" s="267"/>
      <c r="I823" s="258"/>
      <c r="J823" s="258"/>
      <c r="K823" s="258"/>
      <c r="L823" s="258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</row>
    <row r="824" spans="1:25" ht="20.25" customHeight="1">
      <c r="A824" s="267"/>
      <c r="B824" s="267"/>
      <c r="C824" s="267"/>
      <c r="D824" s="267"/>
      <c r="E824" s="267"/>
      <c r="F824" s="267"/>
      <c r="G824" s="267"/>
      <c r="H824" s="267"/>
      <c r="I824" s="258"/>
      <c r="J824" s="258"/>
      <c r="K824" s="258"/>
      <c r="L824" s="258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</row>
    <row r="825" spans="1:25" ht="20.25" customHeight="1">
      <c r="A825" s="267"/>
      <c r="B825" s="267"/>
      <c r="C825" s="267"/>
      <c r="D825" s="267"/>
      <c r="E825" s="267"/>
      <c r="F825" s="267"/>
      <c r="G825" s="267"/>
      <c r="H825" s="267"/>
      <c r="I825" s="258"/>
      <c r="J825" s="258"/>
      <c r="K825" s="258"/>
      <c r="L825" s="258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</row>
    <row r="826" spans="1:25" ht="20.25" customHeight="1">
      <c r="A826" s="267"/>
      <c r="B826" s="267"/>
      <c r="C826" s="267"/>
      <c r="D826" s="267"/>
      <c r="E826" s="267"/>
      <c r="F826" s="267"/>
      <c r="G826" s="267"/>
      <c r="H826" s="267"/>
      <c r="I826" s="258"/>
      <c r="J826" s="258"/>
      <c r="K826" s="258"/>
      <c r="L826" s="258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</row>
    <row r="827" spans="1:25" ht="20.25" customHeight="1">
      <c r="A827" s="267"/>
      <c r="B827" s="267"/>
      <c r="C827" s="267"/>
      <c r="D827" s="267"/>
      <c r="E827" s="267"/>
      <c r="F827" s="267"/>
      <c r="G827" s="267"/>
      <c r="H827" s="267"/>
      <c r="I827" s="258"/>
      <c r="J827" s="258"/>
      <c r="K827" s="258"/>
      <c r="L827" s="258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</row>
    <row r="828" spans="1:25" ht="20.25" customHeight="1">
      <c r="A828" s="267"/>
      <c r="B828" s="267"/>
      <c r="C828" s="267"/>
      <c r="D828" s="267"/>
      <c r="E828" s="267"/>
      <c r="F828" s="267"/>
      <c r="G828" s="267"/>
      <c r="H828" s="267"/>
      <c r="I828" s="258"/>
      <c r="J828" s="258"/>
      <c r="K828" s="258"/>
      <c r="L828" s="258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</row>
    <row r="829" spans="1:25" ht="20.25" customHeight="1">
      <c r="A829" s="267"/>
      <c r="B829" s="267"/>
      <c r="C829" s="267"/>
      <c r="D829" s="267"/>
      <c r="E829" s="267"/>
      <c r="F829" s="267"/>
      <c r="G829" s="267"/>
      <c r="H829" s="267"/>
      <c r="I829" s="258"/>
      <c r="J829" s="258"/>
      <c r="K829" s="258"/>
      <c r="L829" s="258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</row>
    <row r="830" spans="1:25" ht="20.25" customHeight="1">
      <c r="A830" s="267"/>
      <c r="B830" s="267"/>
      <c r="C830" s="267"/>
      <c r="D830" s="267"/>
      <c r="E830" s="267"/>
      <c r="F830" s="267"/>
      <c r="G830" s="267"/>
      <c r="H830" s="267"/>
      <c r="I830" s="258"/>
      <c r="J830" s="258"/>
      <c r="K830" s="258"/>
      <c r="L830" s="258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</row>
    <row r="831" spans="1:25" ht="20.25" customHeight="1">
      <c r="A831" s="267"/>
      <c r="B831" s="267"/>
      <c r="C831" s="267"/>
      <c r="D831" s="267"/>
      <c r="E831" s="267"/>
      <c r="F831" s="267"/>
      <c r="G831" s="267"/>
      <c r="H831" s="267"/>
      <c r="I831" s="258"/>
      <c r="J831" s="258"/>
      <c r="K831" s="258"/>
      <c r="L831" s="258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</row>
    <row r="832" spans="1:25" ht="20.25" customHeight="1">
      <c r="A832" s="267"/>
      <c r="B832" s="267"/>
      <c r="C832" s="267"/>
      <c r="D832" s="267"/>
      <c r="E832" s="267"/>
      <c r="F832" s="267"/>
      <c r="G832" s="267"/>
      <c r="H832" s="267"/>
      <c r="I832" s="258"/>
      <c r="J832" s="258"/>
      <c r="K832" s="258"/>
      <c r="L832" s="258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</row>
    <row r="833" spans="1:25" ht="20.25" customHeight="1">
      <c r="A833" s="267"/>
      <c r="B833" s="267"/>
      <c r="C833" s="267"/>
      <c r="D833" s="267"/>
      <c r="E833" s="267"/>
      <c r="F833" s="267"/>
      <c r="G833" s="267"/>
      <c r="H833" s="267"/>
      <c r="I833" s="258"/>
      <c r="J833" s="258"/>
      <c r="K833" s="258"/>
      <c r="L833" s="258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</row>
    <row r="834" spans="1:25" ht="20.25" customHeight="1">
      <c r="A834" s="267"/>
      <c r="B834" s="267"/>
      <c r="C834" s="267"/>
      <c r="D834" s="267"/>
      <c r="E834" s="267"/>
      <c r="F834" s="267"/>
      <c r="G834" s="267"/>
      <c r="H834" s="267"/>
      <c r="I834" s="258"/>
      <c r="J834" s="258"/>
      <c r="K834" s="258"/>
      <c r="L834" s="258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</row>
    <row r="835" spans="1:25" ht="20.25" customHeight="1">
      <c r="A835" s="267"/>
      <c r="B835" s="267"/>
      <c r="C835" s="267"/>
      <c r="D835" s="267"/>
      <c r="E835" s="267"/>
      <c r="F835" s="267"/>
      <c r="G835" s="267"/>
      <c r="H835" s="267"/>
      <c r="I835" s="258"/>
      <c r="J835" s="258"/>
      <c r="K835" s="258"/>
      <c r="L835" s="258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</row>
    <row r="836" spans="1:25" ht="20.25" customHeight="1">
      <c r="A836" s="267"/>
      <c r="B836" s="267"/>
      <c r="C836" s="267"/>
      <c r="D836" s="267"/>
      <c r="E836" s="267"/>
      <c r="F836" s="267"/>
      <c r="G836" s="267"/>
      <c r="H836" s="267"/>
      <c r="I836" s="258"/>
      <c r="J836" s="258"/>
      <c r="K836" s="258"/>
      <c r="L836" s="258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</row>
    <row r="837" spans="1:25" ht="20.25" customHeight="1">
      <c r="A837" s="267"/>
      <c r="B837" s="267"/>
      <c r="C837" s="267"/>
      <c r="D837" s="267"/>
      <c r="E837" s="267"/>
      <c r="F837" s="267"/>
      <c r="G837" s="267"/>
      <c r="H837" s="267"/>
      <c r="I837" s="258"/>
      <c r="J837" s="258"/>
      <c r="K837" s="258"/>
      <c r="L837" s="258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</row>
    <row r="838" spans="1:25" ht="20.25" customHeight="1">
      <c r="A838" s="267"/>
      <c r="B838" s="267"/>
      <c r="C838" s="267"/>
      <c r="D838" s="267"/>
      <c r="E838" s="267"/>
      <c r="F838" s="267"/>
      <c r="G838" s="267"/>
      <c r="H838" s="267"/>
      <c r="I838" s="258"/>
      <c r="J838" s="258"/>
      <c r="K838" s="258"/>
      <c r="L838" s="258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</row>
    <row r="839" spans="1:25" ht="20.25" customHeight="1">
      <c r="A839" s="267"/>
      <c r="B839" s="267"/>
      <c r="C839" s="267"/>
      <c r="D839" s="267"/>
      <c r="E839" s="267"/>
      <c r="F839" s="267"/>
      <c r="G839" s="267"/>
      <c r="H839" s="267"/>
      <c r="I839" s="258"/>
      <c r="J839" s="258"/>
      <c r="K839" s="258"/>
      <c r="L839" s="258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</row>
    <row r="840" spans="1:25" ht="20.25" customHeight="1">
      <c r="A840" s="267"/>
      <c r="B840" s="267"/>
      <c r="C840" s="267"/>
      <c r="D840" s="267"/>
      <c r="E840" s="267"/>
      <c r="F840" s="267"/>
      <c r="G840" s="267"/>
      <c r="H840" s="267"/>
      <c r="I840" s="258"/>
      <c r="J840" s="258"/>
      <c r="K840" s="258"/>
      <c r="L840" s="258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</row>
    <row r="841" spans="1:25" ht="20.25" customHeight="1">
      <c r="A841" s="267"/>
      <c r="B841" s="267"/>
      <c r="C841" s="267"/>
      <c r="D841" s="267"/>
      <c r="E841" s="267"/>
      <c r="F841" s="267"/>
      <c r="G841" s="267"/>
      <c r="H841" s="267"/>
      <c r="I841" s="258"/>
      <c r="J841" s="258"/>
      <c r="K841" s="258"/>
      <c r="L841" s="258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</row>
    <row r="842" spans="1:25" ht="20.25" customHeight="1">
      <c r="A842" s="267"/>
      <c r="B842" s="267"/>
      <c r="C842" s="267"/>
      <c r="D842" s="267"/>
      <c r="E842" s="267"/>
      <c r="F842" s="267"/>
      <c r="G842" s="267"/>
      <c r="H842" s="267"/>
      <c r="I842" s="258"/>
      <c r="J842" s="258"/>
      <c r="K842" s="258"/>
      <c r="L842" s="258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</row>
    <row r="843" spans="1:25" ht="20.25" customHeight="1">
      <c r="A843" s="267"/>
      <c r="B843" s="267"/>
      <c r="C843" s="267"/>
      <c r="D843" s="267"/>
      <c r="E843" s="267"/>
      <c r="F843" s="267"/>
      <c r="G843" s="267"/>
      <c r="H843" s="267"/>
      <c r="I843" s="258"/>
      <c r="J843" s="258"/>
      <c r="K843" s="258"/>
      <c r="L843" s="258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</row>
    <row r="844" spans="1:25" ht="20.25" customHeight="1">
      <c r="A844" s="267"/>
      <c r="B844" s="267"/>
      <c r="C844" s="267"/>
      <c r="D844" s="267"/>
      <c r="E844" s="267"/>
      <c r="F844" s="267"/>
      <c r="G844" s="267"/>
      <c r="H844" s="267"/>
      <c r="I844" s="258"/>
      <c r="J844" s="258"/>
      <c r="K844" s="258"/>
      <c r="L844" s="258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</row>
    <row r="845" spans="1:25" ht="20.25" customHeight="1">
      <c r="A845" s="267"/>
      <c r="B845" s="267"/>
      <c r="C845" s="267"/>
      <c r="D845" s="267"/>
      <c r="E845" s="267"/>
      <c r="F845" s="267"/>
      <c r="G845" s="267"/>
      <c r="H845" s="267"/>
      <c r="I845" s="258"/>
      <c r="J845" s="258"/>
      <c r="K845" s="258"/>
      <c r="L845" s="258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</row>
    <row r="846" spans="1:25" ht="20.25" customHeight="1">
      <c r="A846" s="267"/>
      <c r="B846" s="267"/>
      <c r="C846" s="267"/>
      <c r="D846" s="267"/>
      <c r="E846" s="267"/>
      <c r="F846" s="267"/>
      <c r="G846" s="267"/>
      <c r="H846" s="267"/>
      <c r="I846" s="258"/>
      <c r="J846" s="258"/>
      <c r="K846" s="258"/>
      <c r="L846" s="258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</row>
    <row r="847" spans="1:25" ht="20.25" customHeight="1">
      <c r="A847" s="267"/>
      <c r="B847" s="267"/>
      <c r="C847" s="267"/>
      <c r="D847" s="267"/>
      <c r="E847" s="267"/>
      <c r="F847" s="267"/>
      <c r="G847" s="267"/>
      <c r="H847" s="267"/>
      <c r="I847" s="258"/>
      <c r="J847" s="258"/>
      <c r="K847" s="258"/>
      <c r="L847" s="258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</row>
    <row r="848" spans="1:25" ht="20.25" customHeight="1">
      <c r="A848" s="267"/>
      <c r="B848" s="267"/>
      <c r="C848" s="267"/>
      <c r="D848" s="267"/>
      <c r="E848" s="267"/>
      <c r="F848" s="267"/>
      <c r="G848" s="267"/>
      <c r="H848" s="267"/>
      <c r="I848" s="258"/>
      <c r="J848" s="258"/>
      <c r="K848" s="258"/>
      <c r="L848" s="258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</row>
    <row r="849" spans="1:25" ht="20.25" customHeight="1">
      <c r="A849" s="267"/>
      <c r="B849" s="267"/>
      <c r="C849" s="267"/>
      <c r="D849" s="267"/>
      <c r="E849" s="267"/>
      <c r="F849" s="267"/>
      <c r="G849" s="267"/>
      <c r="H849" s="267"/>
      <c r="I849" s="258"/>
      <c r="J849" s="258"/>
      <c r="K849" s="258"/>
      <c r="L849" s="258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</row>
    <row r="850" spans="1:25" ht="20.25" customHeight="1">
      <c r="A850" s="267"/>
      <c r="B850" s="267"/>
      <c r="C850" s="267"/>
      <c r="D850" s="267"/>
      <c r="E850" s="267"/>
      <c r="F850" s="267"/>
      <c r="G850" s="267"/>
      <c r="H850" s="267"/>
      <c r="I850" s="258"/>
      <c r="J850" s="258"/>
      <c r="K850" s="258"/>
      <c r="L850" s="258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</row>
    <row r="851" spans="1:25" ht="20.25" customHeight="1">
      <c r="A851" s="267"/>
      <c r="B851" s="267"/>
      <c r="C851" s="267"/>
      <c r="D851" s="267"/>
      <c r="E851" s="267"/>
      <c r="F851" s="267"/>
      <c r="G851" s="267"/>
      <c r="H851" s="267"/>
      <c r="I851" s="258"/>
      <c r="J851" s="258"/>
      <c r="K851" s="258"/>
      <c r="L851" s="258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</row>
    <row r="852" spans="1:25" ht="20.25" customHeight="1">
      <c r="A852" s="267"/>
      <c r="B852" s="267"/>
      <c r="C852" s="267"/>
      <c r="D852" s="267"/>
      <c r="E852" s="267"/>
      <c r="F852" s="267"/>
      <c r="G852" s="267"/>
      <c r="H852" s="267"/>
      <c r="I852" s="258"/>
      <c r="J852" s="258"/>
      <c r="K852" s="258"/>
      <c r="L852" s="258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</row>
    <row r="853" spans="1:25" ht="20.25" customHeight="1">
      <c r="A853" s="267"/>
      <c r="B853" s="267"/>
      <c r="C853" s="267"/>
      <c r="D853" s="267"/>
      <c r="E853" s="267"/>
      <c r="F853" s="267"/>
      <c r="G853" s="267"/>
      <c r="H853" s="267"/>
      <c r="I853" s="258"/>
      <c r="J853" s="258"/>
      <c r="K853" s="258"/>
      <c r="L853" s="258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</row>
    <row r="854" spans="1:25" ht="20.25" customHeight="1">
      <c r="A854" s="267"/>
      <c r="B854" s="267"/>
      <c r="C854" s="267"/>
      <c r="D854" s="267"/>
      <c r="E854" s="267"/>
      <c r="F854" s="267"/>
      <c r="G854" s="267"/>
      <c r="H854" s="267"/>
      <c r="I854" s="258"/>
      <c r="J854" s="258"/>
      <c r="K854" s="258"/>
      <c r="L854" s="258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</row>
    <row r="855" spans="1:25" ht="20.25" customHeight="1">
      <c r="A855" s="267"/>
      <c r="B855" s="267"/>
      <c r="C855" s="267"/>
      <c r="D855" s="267"/>
      <c r="E855" s="267"/>
      <c r="F855" s="267"/>
      <c r="G855" s="267"/>
      <c r="H855" s="267"/>
      <c r="I855" s="258"/>
      <c r="J855" s="258"/>
      <c r="K855" s="258"/>
      <c r="L855" s="258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</row>
    <row r="856" spans="1:25" ht="20.25" customHeight="1">
      <c r="A856" s="267"/>
      <c r="B856" s="267"/>
      <c r="C856" s="267"/>
      <c r="D856" s="267"/>
      <c r="E856" s="267"/>
      <c r="F856" s="267"/>
      <c r="G856" s="267"/>
      <c r="H856" s="267"/>
      <c r="I856" s="258"/>
      <c r="J856" s="258"/>
      <c r="K856" s="258"/>
      <c r="L856" s="258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</row>
    <row r="857" spans="1:25" ht="20.25" customHeight="1">
      <c r="A857" s="267"/>
      <c r="B857" s="267"/>
      <c r="C857" s="267"/>
      <c r="D857" s="267"/>
      <c r="E857" s="267"/>
      <c r="F857" s="267"/>
      <c r="G857" s="267"/>
      <c r="H857" s="267"/>
      <c r="I857" s="258"/>
      <c r="J857" s="258"/>
      <c r="K857" s="258"/>
      <c r="L857" s="258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</row>
    <row r="858" spans="1:25" ht="20.25" customHeight="1">
      <c r="A858" s="267"/>
      <c r="B858" s="267"/>
      <c r="C858" s="267"/>
      <c r="D858" s="267"/>
      <c r="E858" s="267"/>
      <c r="F858" s="267"/>
      <c r="G858" s="267"/>
      <c r="H858" s="267"/>
      <c r="I858" s="258"/>
      <c r="J858" s="258"/>
      <c r="K858" s="258"/>
      <c r="L858" s="258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</row>
    <row r="859" spans="1:25" ht="20.25" customHeight="1">
      <c r="A859" s="267"/>
      <c r="B859" s="267"/>
      <c r="C859" s="267"/>
      <c r="D859" s="267"/>
      <c r="E859" s="267"/>
      <c r="F859" s="267"/>
      <c r="G859" s="267"/>
      <c r="H859" s="267"/>
      <c r="I859" s="258"/>
      <c r="J859" s="258"/>
      <c r="K859" s="258"/>
      <c r="L859" s="258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</row>
    <row r="860" spans="1:25" ht="20.25" customHeight="1">
      <c r="A860" s="267"/>
      <c r="B860" s="267"/>
      <c r="C860" s="267"/>
      <c r="D860" s="267"/>
      <c r="E860" s="267"/>
      <c r="F860" s="267"/>
      <c r="G860" s="267"/>
      <c r="H860" s="267"/>
      <c r="I860" s="258"/>
      <c r="J860" s="258"/>
      <c r="K860" s="258"/>
      <c r="L860" s="258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</row>
    <row r="861" spans="1:25" ht="20.25" customHeight="1">
      <c r="A861" s="267"/>
      <c r="B861" s="267"/>
      <c r="C861" s="267"/>
      <c r="D861" s="267"/>
      <c r="E861" s="267"/>
      <c r="F861" s="267"/>
      <c r="G861" s="267"/>
      <c r="H861" s="267"/>
      <c r="I861" s="258"/>
      <c r="J861" s="258"/>
      <c r="K861" s="258"/>
      <c r="L861" s="258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</row>
    <row r="862" spans="1:25" ht="20.25" customHeight="1">
      <c r="A862" s="267"/>
      <c r="B862" s="267"/>
      <c r="C862" s="267"/>
      <c r="D862" s="267"/>
      <c r="E862" s="267"/>
      <c r="F862" s="267"/>
      <c r="G862" s="267"/>
      <c r="H862" s="267"/>
      <c r="I862" s="258"/>
      <c r="J862" s="258"/>
      <c r="K862" s="258"/>
      <c r="L862" s="258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</row>
    <row r="863" spans="1:25" ht="20.25" customHeight="1">
      <c r="A863" s="267"/>
      <c r="B863" s="267"/>
      <c r="C863" s="267"/>
      <c r="D863" s="267"/>
      <c r="E863" s="267"/>
      <c r="F863" s="267"/>
      <c r="G863" s="267"/>
      <c r="H863" s="267"/>
      <c r="I863" s="258"/>
      <c r="J863" s="258"/>
      <c r="K863" s="258"/>
      <c r="L863" s="258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</row>
    <row r="864" spans="1:25" ht="20.25" customHeight="1">
      <c r="A864" s="267"/>
      <c r="B864" s="267"/>
      <c r="C864" s="267"/>
      <c r="D864" s="267"/>
      <c r="E864" s="267"/>
      <c r="F864" s="267"/>
      <c r="G864" s="267"/>
      <c r="H864" s="267"/>
      <c r="I864" s="258"/>
      <c r="J864" s="258"/>
      <c r="K864" s="258"/>
      <c r="L864" s="258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</row>
    <row r="865" spans="1:25" ht="20.25" customHeight="1">
      <c r="A865" s="267"/>
      <c r="B865" s="267"/>
      <c r="C865" s="267"/>
      <c r="D865" s="267"/>
      <c r="E865" s="267"/>
      <c r="F865" s="267"/>
      <c r="G865" s="267"/>
      <c r="H865" s="267"/>
      <c r="I865" s="258"/>
      <c r="J865" s="258"/>
      <c r="K865" s="258"/>
      <c r="L865" s="258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</row>
    <row r="866" spans="1:25" ht="20.25" customHeight="1">
      <c r="A866" s="267"/>
      <c r="B866" s="267"/>
      <c r="C866" s="267"/>
      <c r="D866" s="267"/>
      <c r="E866" s="267"/>
      <c r="F866" s="267"/>
      <c r="G866" s="267"/>
      <c r="H866" s="267"/>
      <c r="I866" s="258"/>
      <c r="J866" s="258"/>
      <c r="K866" s="258"/>
      <c r="L866" s="258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</row>
    <row r="867" spans="1:25" ht="20.25" customHeight="1">
      <c r="A867" s="267"/>
      <c r="B867" s="267"/>
      <c r="C867" s="267"/>
      <c r="D867" s="267"/>
      <c r="E867" s="267"/>
      <c r="F867" s="267"/>
      <c r="G867" s="267"/>
      <c r="H867" s="267"/>
      <c r="I867" s="258"/>
      <c r="J867" s="258"/>
      <c r="K867" s="258"/>
      <c r="L867" s="258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</row>
    <row r="868" spans="1:25" ht="20.25" customHeight="1">
      <c r="A868" s="267"/>
      <c r="B868" s="267"/>
      <c r="C868" s="267"/>
      <c r="D868" s="267"/>
      <c r="E868" s="267"/>
      <c r="F868" s="267"/>
      <c r="G868" s="267"/>
      <c r="H868" s="267"/>
      <c r="I868" s="258"/>
      <c r="J868" s="258"/>
      <c r="K868" s="258"/>
      <c r="L868" s="258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</row>
    <row r="869" spans="1:25" ht="20.25" customHeight="1">
      <c r="A869" s="267"/>
      <c r="B869" s="267"/>
      <c r="C869" s="267"/>
      <c r="D869" s="267"/>
      <c r="E869" s="267"/>
      <c r="F869" s="267"/>
      <c r="G869" s="267"/>
      <c r="H869" s="267"/>
      <c r="I869" s="258"/>
      <c r="J869" s="258"/>
      <c r="K869" s="258"/>
      <c r="L869" s="258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</row>
    <row r="870" spans="1:25" ht="20.25" customHeight="1">
      <c r="A870" s="267"/>
      <c r="B870" s="267"/>
      <c r="C870" s="267"/>
      <c r="D870" s="267"/>
      <c r="E870" s="267"/>
      <c r="F870" s="267"/>
      <c r="G870" s="267"/>
      <c r="H870" s="267"/>
      <c r="I870" s="258"/>
      <c r="J870" s="258"/>
      <c r="K870" s="258"/>
      <c r="L870" s="258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</row>
    <row r="871" spans="1:25" ht="20.25" customHeight="1">
      <c r="A871" s="267"/>
      <c r="B871" s="267"/>
      <c r="C871" s="267"/>
      <c r="D871" s="267"/>
      <c r="E871" s="267"/>
      <c r="F871" s="267"/>
      <c r="G871" s="267"/>
      <c r="H871" s="267"/>
      <c r="I871" s="258"/>
      <c r="J871" s="258"/>
      <c r="K871" s="258"/>
      <c r="L871" s="258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</row>
    <row r="872" spans="1:25" ht="20.25" customHeight="1">
      <c r="A872" s="267"/>
      <c r="B872" s="267"/>
      <c r="C872" s="267"/>
      <c r="D872" s="267"/>
      <c r="E872" s="267"/>
      <c r="F872" s="267"/>
      <c r="G872" s="267"/>
      <c r="H872" s="267"/>
      <c r="I872" s="258"/>
      <c r="J872" s="258"/>
      <c r="K872" s="258"/>
      <c r="L872" s="258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</row>
    <row r="873" spans="1:25" ht="20.25" customHeight="1">
      <c r="A873" s="267"/>
      <c r="B873" s="267"/>
      <c r="C873" s="267"/>
      <c r="D873" s="267"/>
      <c r="E873" s="267"/>
      <c r="F873" s="267"/>
      <c r="G873" s="267"/>
      <c r="H873" s="267"/>
      <c r="I873" s="258"/>
      <c r="J873" s="258"/>
      <c r="K873" s="258"/>
      <c r="L873" s="258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</row>
    <row r="874" spans="1:25" ht="20.25" customHeight="1">
      <c r="A874" s="267"/>
      <c r="B874" s="267"/>
      <c r="C874" s="267"/>
      <c r="D874" s="267"/>
      <c r="E874" s="267"/>
      <c r="F874" s="267"/>
      <c r="G874" s="267"/>
      <c r="H874" s="267"/>
      <c r="I874" s="258"/>
      <c r="J874" s="258"/>
      <c r="K874" s="258"/>
      <c r="L874" s="258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</row>
    <row r="875" spans="1:25" ht="20.25" customHeight="1">
      <c r="A875" s="267"/>
      <c r="B875" s="267"/>
      <c r="C875" s="267"/>
      <c r="D875" s="267"/>
      <c r="E875" s="267"/>
      <c r="F875" s="267"/>
      <c r="G875" s="267"/>
      <c r="H875" s="267"/>
      <c r="I875" s="258"/>
      <c r="J875" s="258"/>
      <c r="K875" s="258"/>
      <c r="L875" s="258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</row>
    <row r="876" spans="1:25" ht="20.25" customHeight="1">
      <c r="A876" s="267"/>
      <c r="B876" s="267"/>
      <c r="C876" s="267"/>
      <c r="D876" s="267"/>
      <c r="E876" s="267"/>
      <c r="F876" s="267"/>
      <c r="G876" s="267"/>
      <c r="H876" s="267"/>
      <c r="I876" s="258"/>
      <c r="J876" s="258"/>
      <c r="K876" s="258"/>
      <c r="L876" s="258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</row>
    <row r="877" spans="1:25" ht="20.25" customHeight="1">
      <c r="A877" s="267"/>
      <c r="B877" s="267"/>
      <c r="C877" s="267"/>
      <c r="D877" s="267"/>
      <c r="E877" s="267"/>
      <c r="F877" s="267"/>
      <c r="G877" s="267"/>
      <c r="H877" s="267"/>
      <c r="I877" s="258"/>
      <c r="J877" s="258"/>
      <c r="K877" s="258"/>
      <c r="L877" s="258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</row>
    <row r="878" spans="1:25" ht="20.25" customHeight="1">
      <c r="A878" s="267"/>
      <c r="B878" s="267"/>
      <c r="C878" s="267"/>
      <c r="D878" s="267"/>
      <c r="E878" s="267"/>
      <c r="F878" s="267"/>
      <c r="G878" s="267"/>
      <c r="H878" s="267"/>
      <c r="I878" s="258"/>
      <c r="J878" s="258"/>
      <c r="K878" s="258"/>
      <c r="L878" s="258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</row>
    <row r="879" spans="1:25" ht="20.25" customHeight="1">
      <c r="A879" s="267"/>
      <c r="B879" s="267"/>
      <c r="C879" s="267"/>
      <c r="D879" s="267"/>
      <c r="E879" s="267"/>
      <c r="F879" s="267"/>
      <c r="G879" s="267"/>
      <c r="H879" s="267"/>
      <c r="I879" s="258"/>
      <c r="J879" s="258"/>
      <c r="K879" s="258"/>
      <c r="L879" s="258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</row>
    <row r="880" spans="1:25" ht="20.25" customHeight="1">
      <c r="A880" s="267"/>
      <c r="B880" s="267"/>
      <c r="C880" s="267"/>
      <c r="D880" s="267"/>
      <c r="E880" s="267"/>
      <c r="F880" s="267"/>
      <c r="G880" s="267"/>
      <c r="H880" s="267"/>
      <c r="I880" s="258"/>
      <c r="J880" s="258"/>
      <c r="K880" s="258"/>
      <c r="L880" s="258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</row>
    <row r="881" spans="1:25" ht="20.25" customHeight="1">
      <c r="A881" s="267"/>
      <c r="B881" s="267"/>
      <c r="C881" s="267"/>
      <c r="D881" s="267"/>
      <c r="E881" s="267"/>
      <c r="F881" s="267"/>
      <c r="G881" s="267"/>
      <c r="H881" s="267"/>
      <c r="I881" s="258"/>
      <c r="J881" s="258"/>
      <c r="K881" s="258"/>
      <c r="L881" s="258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</row>
    <row r="882" spans="1:25" ht="20.25" customHeight="1">
      <c r="A882" s="267"/>
      <c r="B882" s="267"/>
      <c r="C882" s="267"/>
      <c r="D882" s="267"/>
      <c r="E882" s="267"/>
      <c r="F882" s="267"/>
      <c r="G882" s="267"/>
      <c r="H882" s="267"/>
      <c r="I882" s="258"/>
      <c r="J882" s="258"/>
      <c r="K882" s="258"/>
      <c r="L882" s="258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</row>
    <row r="883" spans="1:25" ht="20.25" customHeight="1">
      <c r="A883" s="267"/>
      <c r="B883" s="267"/>
      <c r="C883" s="267"/>
      <c r="D883" s="267"/>
      <c r="E883" s="267"/>
      <c r="F883" s="267"/>
      <c r="G883" s="267"/>
      <c r="H883" s="267"/>
      <c r="I883" s="258"/>
      <c r="J883" s="258"/>
      <c r="K883" s="258"/>
      <c r="L883" s="258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</row>
    <row r="884" spans="1:25" ht="20.25" customHeight="1">
      <c r="A884" s="267"/>
      <c r="B884" s="267"/>
      <c r="C884" s="267"/>
      <c r="D884" s="267"/>
      <c r="E884" s="267"/>
      <c r="F884" s="267"/>
      <c r="G884" s="267"/>
      <c r="H884" s="267"/>
      <c r="I884" s="258"/>
      <c r="J884" s="258"/>
      <c r="K884" s="258"/>
      <c r="L884" s="258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</row>
    <row r="885" spans="1:25" ht="20.25" customHeight="1">
      <c r="A885" s="267"/>
      <c r="B885" s="267"/>
      <c r="C885" s="267"/>
      <c r="D885" s="267"/>
      <c r="E885" s="267"/>
      <c r="F885" s="267"/>
      <c r="G885" s="267"/>
      <c r="H885" s="267"/>
      <c r="I885" s="258"/>
      <c r="J885" s="258"/>
      <c r="K885" s="258"/>
      <c r="L885" s="258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</row>
    <row r="886" spans="1:25" ht="20.25" customHeight="1">
      <c r="A886" s="267"/>
      <c r="B886" s="267"/>
      <c r="C886" s="267"/>
      <c r="D886" s="267"/>
      <c r="E886" s="267"/>
      <c r="F886" s="267"/>
      <c r="G886" s="267"/>
      <c r="H886" s="267"/>
      <c r="I886" s="258"/>
      <c r="J886" s="258"/>
      <c r="K886" s="258"/>
      <c r="L886" s="258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</row>
    <row r="887" spans="1:25" ht="20.25" customHeight="1">
      <c r="A887" s="267"/>
      <c r="B887" s="267"/>
      <c r="C887" s="267"/>
      <c r="D887" s="267"/>
      <c r="E887" s="267"/>
      <c r="F887" s="267"/>
      <c r="G887" s="267"/>
      <c r="H887" s="267"/>
      <c r="I887" s="258"/>
      <c r="J887" s="258"/>
      <c r="K887" s="258"/>
      <c r="L887" s="258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</row>
    <row r="888" spans="1:25" ht="20.25" customHeight="1">
      <c r="A888" s="267"/>
      <c r="B888" s="267"/>
      <c r="C888" s="267"/>
      <c r="D888" s="267"/>
      <c r="E888" s="267"/>
      <c r="F888" s="267"/>
      <c r="G888" s="267"/>
      <c r="H888" s="267"/>
      <c r="I888" s="258"/>
      <c r="J888" s="258"/>
      <c r="K888" s="258"/>
      <c r="L888" s="258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</row>
    <row r="889" spans="1:25" ht="20.25" customHeight="1">
      <c r="A889" s="267"/>
      <c r="B889" s="267"/>
      <c r="C889" s="267"/>
      <c r="D889" s="267"/>
      <c r="E889" s="267"/>
      <c r="F889" s="267"/>
      <c r="G889" s="267"/>
      <c r="H889" s="267"/>
      <c r="I889" s="258"/>
      <c r="J889" s="258"/>
      <c r="K889" s="258"/>
      <c r="L889" s="258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</row>
    <row r="890" spans="1:25" ht="20.25" customHeight="1">
      <c r="A890" s="267"/>
      <c r="B890" s="267"/>
      <c r="C890" s="267"/>
      <c r="D890" s="267"/>
      <c r="E890" s="267"/>
      <c r="F890" s="267"/>
      <c r="G890" s="267"/>
      <c r="H890" s="267"/>
      <c r="I890" s="258"/>
      <c r="J890" s="258"/>
      <c r="K890" s="258"/>
      <c r="L890" s="258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</row>
    <row r="891" spans="1:25" ht="20.25" customHeight="1">
      <c r="A891" s="267"/>
      <c r="B891" s="267"/>
      <c r="C891" s="267"/>
      <c r="D891" s="267"/>
      <c r="E891" s="267"/>
      <c r="F891" s="267"/>
      <c r="G891" s="267"/>
      <c r="H891" s="267"/>
      <c r="I891" s="258"/>
      <c r="J891" s="258"/>
      <c r="K891" s="258"/>
      <c r="L891" s="258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</row>
    <row r="892" spans="1:25" ht="20.25" customHeight="1">
      <c r="A892" s="267"/>
      <c r="B892" s="267"/>
      <c r="C892" s="267"/>
      <c r="D892" s="267"/>
      <c r="E892" s="267"/>
      <c r="F892" s="267"/>
      <c r="G892" s="267"/>
      <c r="H892" s="267"/>
      <c r="I892" s="258"/>
      <c r="J892" s="258"/>
      <c r="K892" s="258"/>
      <c r="L892" s="258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</row>
    <row r="893" spans="1:25" ht="20.25" customHeight="1">
      <c r="A893" s="267"/>
      <c r="B893" s="267"/>
      <c r="C893" s="267"/>
      <c r="D893" s="267"/>
      <c r="E893" s="267"/>
      <c r="F893" s="267"/>
      <c r="G893" s="267"/>
      <c r="H893" s="267"/>
      <c r="I893" s="258"/>
      <c r="J893" s="258"/>
      <c r="K893" s="258"/>
      <c r="L893" s="258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</row>
    <row r="894" spans="1:25" ht="20.25" customHeight="1">
      <c r="A894" s="267"/>
      <c r="B894" s="267"/>
      <c r="C894" s="267"/>
      <c r="D894" s="267"/>
      <c r="E894" s="267"/>
      <c r="F894" s="267"/>
      <c r="G894" s="267"/>
      <c r="H894" s="267"/>
      <c r="I894" s="258"/>
      <c r="J894" s="258"/>
      <c r="K894" s="258"/>
      <c r="L894" s="258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</row>
    <row r="895" spans="1:25" ht="20.25" customHeight="1">
      <c r="A895" s="267"/>
      <c r="B895" s="267"/>
      <c r="C895" s="267"/>
      <c r="D895" s="267"/>
      <c r="E895" s="267"/>
      <c r="F895" s="267"/>
      <c r="G895" s="267"/>
      <c r="H895" s="267"/>
      <c r="I895" s="258"/>
      <c r="J895" s="258"/>
      <c r="K895" s="258"/>
      <c r="L895" s="258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</row>
    <row r="896" spans="1:25" ht="20.25" customHeight="1">
      <c r="A896" s="267"/>
      <c r="B896" s="267"/>
      <c r="C896" s="267"/>
      <c r="D896" s="267"/>
      <c r="E896" s="267"/>
      <c r="F896" s="267"/>
      <c r="G896" s="267"/>
      <c r="H896" s="267"/>
      <c r="I896" s="258"/>
      <c r="J896" s="258"/>
      <c r="K896" s="258"/>
      <c r="L896" s="258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</row>
    <row r="897" spans="1:25" ht="20.25" customHeight="1">
      <c r="A897" s="267"/>
      <c r="B897" s="267"/>
      <c r="C897" s="267"/>
      <c r="D897" s="267"/>
      <c r="E897" s="267"/>
      <c r="F897" s="267"/>
      <c r="G897" s="267"/>
      <c r="H897" s="267"/>
      <c r="I897" s="258"/>
      <c r="J897" s="258"/>
      <c r="K897" s="258"/>
      <c r="L897" s="258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</row>
    <row r="898" spans="1:25" ht="20.25" customHeight="1">
      <c r="A898" s="267"/>
      <c r="B898" s="267"/>
      <c r="C898" s="267"/>
      <c r="D898" s="267"/>
      <c r="E898" s="267"/>
      <c r="F898" s="267"/>
      <c r="G898" s="267"/>
      <c r="H898" s="267"/>
      <c r="I898" s="258"/>
      <c r="J898" s="258"/>
      <c r="K898" s="258"/>
      <c r="L898" s="258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</row>
    <row r="899" spans="1:25" ht="20.25" customHeight="1">
      <c r="A899" s="267"/>
      <c r="B899" s="267"/>
      <c r="C899" s="267"/>
      <c r="D899" s="267"/>
      <c r="E899" s="267"/>
      <c r="F899" s="267"/>
      <c r="G899" s="267"/>
      <c r="H899" s="267"/>
      <c r="I899" s="258"/>
      <c r="J899" s="258"/>
      <c r="K899" s="258"/>
      <c r="L899" s="258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</row>
    <row r="900" spans="1:25" ht="20.25" customHeight="1">
      <c r="A900" s="267"/>
      <c r="B900" s="267"/>
      <c r="C900" s="267"/>
      <c r="D900" s="267"/>
      <c r="E900" s="267"/>
      <c r="F900" s="267"/>
      <c r="G900" s="267"/>
      <c r="H900" s="267"/>
      <c r="I900" s="258"/>
      <c r="J900" s="258"/>
      <c r="K900" s="258"/>
      <c r="L900" s="258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</row>
    <row r="901" spans="1:25" ht="20.25" customHeight="1">
      <c r="A901" s="267"/>
      <c r="B901" s="267"/>
      <c r="C901" s="267"/>
      <c r="D901" s="267"/>
      <c r="E901" s="267"/>
      <c r="F901" s="267"/>
      <c r="G901" s="267"/>
      <c r="H901" s="267"/>
      <c r="I901" s="258"/>
      <c r="J901" s="258"/>
      <c r="K901" s="258"/>
      <c r="L901" s="258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</row>
    <row r="902" spans="1:25" ht="20.25" customHeight="1">
      <c r="A902" s="267"/>
      <c r="B902" s="267"/>
      <c r="C902" s="267"/>
      <c r="D902" s="267"/>
      <c r="E902" s="267"/>
      <c r="F902" s="267"/>
      <c r="G902" s="267"/>
      <c r="H902" s="267"/>
      <c r="I902" s="258"/>
      <c r="J902" s="258"/>
      <c r="K902" s="258"/>
      <c r="L902" s="258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</row>
    <row r="903" spans="1:25" ht="20.25" customHeight="1">
      <c r="A903" s="267"/>
      <c r="B903" s="267"/>
      <c r="C903" s="267"/>
      <c r="D903" s="267"/>
      <c r="E903" s="267"/>
      <c r="F903" s="267"/>
      <c r="G903" s="267"/>
      <c r="H903" s="267"/>
      <c r="I903" s="258"/>
      <c r="J903" s="258"/>
      <c r="K903" s="258"/>
      <c r="L903" s="258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</row>
    <row r="904" spans="1:25" ht="20.25" customHeight="1">
      <c r="A904" s="267"/>
      <c r="B904" s="267"/>
      <c r="C904" s="267"/>
      <c r="D904" s="267"/>
      <c r="E904" s="267"/>
      <c r="F904" s="267"/>
      <c r="G904" s="267"/>
      <c r="H904" s="267"/>
      <c r="I904" s="258"/>
      <c r="J904" s="258"/>
      <c r="K904" s="258"/>
      <c r="L904" s="258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</row>
    <row r="905" spans="1:25" ht="20.25" customHeight="1">
      <c r="A905" s="267"/>
      <c r="B905" s="267"/>
      <c r="C905" s="267"/>
      <c r="D905" s="267"/>
      <c r="E905" s="267"/>
      <c r="F905" s="267"/>
      <c r="G905" s="267"/>
      <c r="H905" s="267"/>
      <c r="I905" s="258"/>
      <c r="J905" s="258"/>
      <c r="K905" s="258"/>
      <c r="L905" s="258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</row>
    <row r="906" spans="1:25" ht="20.25" customHeight="1">
      <c r="A906" s="267"/>
      <c r="B906" s="267"/>
      <c r="C906" s="267"/>
      <c r="D906" s="267"/>
      <c r="E906" s="267"/>
      <c r="F906" s="267"/>
      <c r="G906" s="267"/>
      <c r="H906" s="267"/>
      <c r="I906" s="258"/>
      <c r="J906" s="258"/>
      <c r="K906" s="258"/>
      <c r="L906" s="258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</row>
    <row r="907" spans="1:25" ht="20.25" customHeight="1">
      <c r="A907" s="267"/>
      <c r="B907" s="267"/>
      <c r="C907" s="267"/>
      <c r="D907" s="267"/>
      <c r="E907" s="267"/>
      <c r="F907" s="267"/>
      <c r="G907" s="267"/>
      <c r="H907" s="267"/>
      <c r="I907" s="258"/>
      <c r="J907" s="258"/>
      <c r="K907" s="258"/>
      <c r="L907" s="258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</row>
    <row r="908" spans="1:25" ht="20.25" customHeight="1">
      <c r="A908" s="267"/>
      <c r="B908" s="267"/>
      <c r="C908" s="267"/>
      <c r="D908" s="267"/>
      <c r="E908" s="267"/>
      <c r="F908" s="267"/>
      <c r="G908" s="267"/>
      <c r="H908" s="267"/>
      <c r="I908" s="258"/>
      <c r="J908" s="258"/>
      <c r="K908" s="258"/>
      <c r="L908" s="258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</row>
    <row r="909" spans="1:25" ht="20.25" customHeight="1">
      <c r="A909" s="267"/>
      <c r="B909" s="267"/>
      <c r="C909" s="267"/>
      <c r="D909" s="267"/>
      <c r="E909" s="267"/>
      <c r="F909" s="267"/>
      <c r="G909" s="267"/>
      <c r="H909" s="267"/>
      <c r="I909" s="258"/>
      <c r="J909" s="258"/>
      <c r="K909" s="258"/>
      <c r="L909" s="258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</row>
    <row r="910" spans="1:25" ht="20.25" customHeight="1">
      <c r="A910" s="267"/>
      <c r="B910" s="267"/>
      <c r="C910" s="267"/>
      <c r="D910" s="267"/>
      <c r="E910" s="267"/>
      <c r="F910" s="267"/>
      <c r="G910" s="267"/>
      <c r="H910" s="267"/>
      <c r="I910" s="258"/>
      <c r="J910" s="258"/>
      <c r="K910" s="258"/>
      <c r="L910" s="258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</row>
    <row r="911" spans="1:25" ht="20.25" customHeight="1">
      <c r="A911" s="267"/>
      <c r="B911" s="267"/>
      <c r="C911" s="267"/>
      <c r="D911" s="267"/>
      <c r="E911" s="267"/>
      <c r="F911" s="267"/>
      <c r="G911" s="267"/>
      <c r="H911" s="267"/>
      <c r="I911" s="258"/>
      <c r="J911" s="258"/>
      <c r="K911" s="258"/>
      <c r="L911" s="258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</row>
    <row r="912" spans="1:25" ht="20.25" customHeight="1">
      <c r="A912" s="267"/>
      <c r="B912" s="267"/>
      <c r="C912" s="267"/>
      <c r="D912" s="267"/>
      <c r="E912" s="267"/>
      <c r="F912" s="267"/>
      <c r="G912" s="267"/>
      <c r="H912" s="267"/>
      <c r="I912" s="258"/>
      <c r="J912" s="258"/>
      <c r="K912" s="258"/>
      <c r="L912" s="258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</row>
    <row r="913" spans="1:25" ht="20.25" customHeight="1">
      <c r="A913" s="267"/>
      <c r="B913" s="267"/>
      <c r="C913" s="267"/>
      <c r="D913" s="267"/>
      <c r="E913" s="267"/>
      <c r="F913" s="267"/>
      <c r="G913" s="267"/>
      <c r="H913" s="267"/>
      <c r="I913" s="258"/>
      <c r="J913" s="258"/>
      <c r="K913" s="258"/>
      <c r="L913" s="258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</row>
    <row r="914" spans="1:25" ht="20.25" customHeight="1">
      <c r="A914" s="267"/>
      <c r="B914" s="267"/>
      <c r="C914" s="267"/>
      <c r="D914" s="267"/>
      <c r="E914" s="267"/>
      <c r="F914" s="267"/>
      <c r="G914" s="267"/>
      <c r="H914" s="267"/>
      <c r="I914" s="258"/>
      <c r="J914" s="258"/>
      <c r="K914" s="258"/>
      <c r="L914" s="258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</row>
    <row r="915" spans="1:25" ht="20.25" customHeight="1">
      <c r="A915" s="267"/>
      <c r="B915" s="267"/>
      <c r="C915" s="267"/>
      <c r="D915" s="267"/>
      <c r="E915" s="267"/>
      <c r="F915" s="267"/>
      <c r="G915" s="267"/>
      <c r="H915" s="267"/>
      <c r="I915" s="258"/>
      <c r="J915" s="258"/>
      <c r="K915" s="258"/>
      <c r="L915" s="258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</row>
    <row r="916" spans="1:25" ht="20.25" customHeight="1">
      <c r="A916" s="267"/>
      <c r="B916" s="267"/>
      <c r="C916" s="267"/>
      <c r="D916" s="267"/>
      <c r="E916" s="267"/>
      <c r="F916" s="267"/>
      <c r="G916" s="267"/>
      <c r="H916" s="267"/>
      <c r="I916" s="258"/>
      <c r="J916" s="258"/>
      <c r="K916" s="258"/>
      <c r="L916" s="258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</row>
    <row r="917" spans="1:25" ht="20.25" customHeight="1">
      <c r="A917" s="267"/>
      <c r="B917" s="267"/>
      <c r="C917" s="267"/>
      <c r="D917" s="267"/>
      <c r="E917" s="267"/>
      <c r="F917" s="267"/>
      <c r="G917" s="267"/>
      <c r="H917" s="267"/>
      <c r="I917" s="258"/>
      <c r="J917" s="258"/>
      <c r="K917" s="258"/>
      <c r="L917" s="258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</row>
    <row r="918" spans="1:25" ht="20.25" customHeight="1">
      <c r="A918" s="267"/>
      <c r="B918" s="267"/>
      <c r="C918" s="267"/>
      <c r="D918" s="267"/>
      <c r="E918" s="267"/>
      <c r="F918" s="267"/>
      <c r="G918" s="267"/>
      <c r="H918" s="267"/>
      <c r="I918" s="258"/>
      <c r="J918" s="258"/>
      <c r="K918" s="258"/>
      <c r="L918" s="258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</row>
    <row r="919" spans="1:25" ht="20.25" customHeight="1">
      <c r="A919" s="267"/>
      <c r="B919" s="267"/>
      <c r="C919" s="267"/>
      <c r="D919" s="267"/>
      <c r="E919" s="267"/>
      <c r="F919" s="267"/>
      <c r="G919" s="267"/>
      <c r="H919" s="267"/>
      <c r="I919" s="258"/>
      <c r="J919" s="258"/>
      <c r="K919" s="258"/>
      <c r="L919" s="258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</row>
    <row r="920" spans="1:25" ht="20.25" customHeight="1">
      <c r="A920" s="267"/>
      <c r="B920" s="267"/>
      <c r="C920" s="267"/>
      <c r="D920" s="267"/>
      <c r="E920" s="267"/>
      <c r="F920" s="267"/>
      <c r="G920" s="267"/>
      <c r="H920" s="267"/>
      <c r="I920" s="258"/>
      <c r="J920" s="258"/>
      <c r="K920" s="258"/>
      <c r="L920" s="258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</row>
    <row r="921" spans="1:25" ht="20.25" customHeight="1">
      <c r="A921" s="267"/>
      <c r="B921" s="267"/>
      <c r="C921" s="267"/>
      <c r="D921" s="267"/>
      <c r="E921" s="267"/>
      <c r="F921" s="267"/>
      <c r="G921" s="267"/>
      <c r="H921" s="267"/>
      <c r="I921" s="258"/>
      <c r="J921" s="258"/>
      <c r="K921" s="258"/>
      <c r="L921" s="258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</row>
    <row r="922" spans="1:25" ht="20.25" customHeight="1">
      <c r="A922" s="267"/>
      <c r="B922" s="267"/>
      <c r="C922" s="267"/>
      <c r="D922" s="267"/>
      <c r="E922" s="267"/>
      <c r="F922" s="267"/>
      <c r="G922" s="267"/>
      <c r="H922" s="267"/>
      <c r="I922" s="258"/>
      <c r="J922" s="258"/>
      <c r="K922" s="258"/>
      <c r="L922" s="258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</row>
    <row r="923" spans="1:25" ht="20.25" customHeight="1">
      <c r="A923" s="267"/>
      <c r="B923" s="267"/>
      <c r="C923" s="267"/>
      <c r="D923" s="267"/>
      <c r="E923" s="267"/>
      <c r="F923" s="267"/>
      <c r="G923" s="267"/>
      <c r="H923" s="267"/>
      <c r="I923" s="258"/>
      <c r="J923" s="258"/>
      <c r="K923" s="258"/>
      <c r="L923" s="258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</row>
    <row r="924" spans="1:25" ht="20.25" customHeight="1">
      <c r="A924" s="267"/>
      <c r="B924" s="267"/>
      <c r="C924" s="267"/>
      <c r="D924" s="267"/>
      <c r="E924" s="267"/>
      <c r="F924" s="267"/>
      <c r="G924" s="267"/>
      <c r="H924" s="267"/>
      <c r="I924" s="258"/>
      <c r="J924" s="258"/>
      <c r="K924" s="258"/>
      <c r="L924" s="258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</row>
    <row r="925" spans="1:25" ht="20.25" customHeight="1">
      <c r="A925" s="267"/>
      <c r="B925" s="267"/>
      <c r="C925" s="267"/>
      <c r="D925" s="267"/>
      <c r="E925" s="267"/>
      <c r="F925" s="267"/>
      <c r="G925" s="267"/>
      <c r="H925" s="267"/>
      <c r="I925" s="258"/>
      <c r="J925" s="258"/>
      <c r="K925" s="258"/>
      <c r="L925" s="258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</row>
    <row r="926" spans="1:25" ht="20.25" customHeight="1">
      <c r="A926" s="267"/>
      <c r="B926" s="267"/>
      <c r="C926" s="267"/>
      <c r="D926" s="267"/>
      <c r="E926" s="267"/>
      <c r="F926" s="267"/>
      <c r="G926" s="267"/>
      <c r="H926" s="267"/>
      <c r="I926" s="258"/>
      <c r="J926" s="258"/>
      <c r="K926" s="258"/>
      <c r="L926" s="258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</row>
    <row r="927" spans="1:25" ht="20.25" customHeight="1">
      <c r="A927" s="267"/>
      <c r="B927" s="267"/>
      <c r="C927" s="267"/>
      <c r="D927" s="267"/>
      <c r="E927" s="267"/>
      <c r="F927" s="267"/>
      <c r="G927" s="267"/>
      <c r="H927" s="267"/>
      <c r="I927" s="258"/>
      <c r="J927" s="258"/>
      <c r="K927" s="258"/>
      <c r="L927" s="258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</row>
    <row r="928" spans="1:25" ht="20.25" customHeight="1">
      <c r="A928" s="267"/>
      <c r="B928" s="267"/>
      <c r="C928" s="267"/>
      <c r="D928" s="267"/>
      <c r="E928" s="267"/>
      <c r="F928" s="267"/>
      <c r="G928" s="267"/>
      <c r="H928" s="267"/>
      <c r="I928" s="258"/>
      <c r="J928" s="258"/>
      <c r="K928" s="258"/>
      <c r="L928" s="258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</row>
    <row r="929" spans="1:25" ht="20.25" customHeight="1">
      <c r="A929" s="267"/>
      <c r="B929" s="267"/>
      <c r="C929" s="267"/>
      <c r="D929" s="267"/>
      <c r="E929" s="267"/>
      <c r="F929" s="267"/>
      <c r="G929" s="267"/>
      <c r="H929" s="267"/>
      <c r="I929" s="258"/>
      <c r="J929" s="258"/>
      <c r="K929" s="258"/>
      <c r="L929" s="258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</row>
    <row r="930" spans="1:25" ht="20.25" customHeight="1">
      <c r="A930" s="267"/>
      <c r="B930" s="267"/>
      <c r="C930" s="267"/>
      <c r="D930" s="267"/>
      <c r="E930" s="267"/>
      <c r="F930" s="267"/>
      <c r="G930" s="267"/>
      <c r="H930" s="267"/>
      <c r="I930" s="258"/>
      <c r="J930" s="258"/>
      <c r="K930" s="258"/>
      <c r="L930" s="258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</row>
    <row r="931" spans="1:25" ht="20.25" customHeight="1">
      <c r="A931" s="267"/>
      <c r="B931" s="267"/>
      <c r="C931" s="267"/>
      <c r="D931" s="267"/>
      <c r="E931" s="267"/>
      <c r="F931" s="267"/>
      <c r="G931" s="267"/>
      <c r="H931" s="267"/>
      <c r="I931" s="258"/>
      <c r="J931" s="258"/>
      <c r="K931" s="258"/>
      <c r="L931" s="258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</row>
    <row r="932" spans="1:25" ht="20.25" customHeight="1">
      <c r="A932" s="267"/>
      <c r="B932" s="267"/>
      <c r="C932" s="267"/>
      <c r="D932" s="267"/>
      <c r="E932" s="267"/>
      <c r="F932" s="267"/>
      <c r="G932" s="267"/>
      <c r="H932" s="267"/>
      <c r="I932" s="258"/>
      <c r="J932" s="258"/>
      <c r="K932" s="258"/>
      <c r="L932" s="258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</row>
    <row r="933" spans="1:25" ht="20.25" customHeight="1">
      <c r="A933" s="267"/>
      <c r="B933" s="267"/>
      <c r="C933" s="267"/>
      <c r="D933" s="267"/>
      <c r="E933" s="267"/>
      <c r="F933" s="267"/>
      <c r="G933" s="267"/>
      <c r="H933" s="267"/>
      <c r="I933" s="258"/>
      <c r="J933" s="258"/>
      <c r="K933" s="258"/>
      <c r="L933" s="258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</row>
    <row r="934" spans="1:25" ht="20.25" customHeight="1">
      <c r="A934" s="267"/>
      <c r="B934" s="267"/>
      <c r="C934" s="267"/>
      <c r="D934" s="267"/>
      <c r="E934" s="267"/>
      <c r="F934" s="267"/>
      <c r="G934" s="267"/>
      <c r="H934" s="267"/>
      <c r="I934" s="258"/>
      <c r="J934" s="258"/>
      <c r="K934" s="258"/>
      <c r="L934" s="258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</row>
    <row r="935" spans="1:25" ht="20.25" customHeight="1">
      <c r="A935" s="267"/>
      <c r="B935" s="267"/>
      <c r="C935" s="267"/>
      <c r="D935" s="267"/>
      <c r="E935" s="267"/>
      <c r="F935" s="267"/>
      <c r="G935" s="267"/>
      <c r="H935" s="267"/>
      <c r="I935" s="258"/>
      <c r="J935" s="258"/>
      <c r="K935" s="258"/>
      <c r="L935" s="258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</row>
    <row r="936" spans="1:25" ht="20.25" customHeight="1">
      <c r="A936" s="267"/>
      <c r="B936" s="267"/>
      <c r="C936" s="267"/>
      <c r="D936" s="267"/>
      <c r="E936" s="267"/>
      <c r="F936" s="267"/>
      <c r="G936" s="267"/>
      <c r="H936" s="267"/>
      <c r="I936" s="258"/>
      <c r="J936" s="258"/>
      <c r="K936" s="258"/>
      <c r="L936" s="258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</row>
    <row r="937" spans="1:25" ht="20.25" customHeight="1">
      <c r="A937" s="267"/>
      <c r="B937" s="267"/>
      <c r="C937" s="267"/>
      <c r="D937" s="267"/>
      <c r="E937" s="267"/>
      <c r="F937" s="267"/>
      <c r="G937" s="267"/>
      <c r="H937" s="267"/>
      <c r="I937" s="258"/>
      <c r="J937" s="258"/>
      <c r="K937" s="258"/>
      <c r="L937" s="258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</row>
    <row r="938" spans="1:25" ht="20.25" customHeight="1">
      <c r="A938" s="267"/>
      <c r="B938" s="267"/>
      <c r="C938" s="267"/>
      <c r="D938" s="267"/>
      <c r="E938" s="267"/>
      <c r="F938" s="267"/>
      <c r="G938" s="267"/>
      <c r="H938" s="267"/>
      <c r="I938" s="258"/>
      <c r="J938" s="258"/>
      <c r="K938" s="258"/>
      <c r="L938" s="258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</row>
    <row r="939" spans="1:25" ht="20.25" customHeight="1">
      <c r="A939" s="267"/>
      <c r="B939" s="267"/>
      <c r="C939" s="267"/>
      <c r="D939" s="267"/>
      <c r="E939" s="267"/>
      <c r="F939" s="267"/>
      <c r="G939" s="267"/>
      <c r="H939" s="267"/>
      <c r="I939" s="258"/>
      <c r="J939" s="258"/>
      <c r="K939" s="258"/>
      <c r="L939" s="258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</row>
    <row r="940" spans="1:25" ht="20.25" customHeight="1">
      <c r="A940" s="267"/>
      <c r="B940" s="267"/>
      <c r="C940" s="267"/>
      <c r="D940" s="267"/>
      <c r="E940" s="267"/>
      <c r="F940" s="267"/>
      <c r="G940" s="267"/>
      <c r="H940" s="267"/>
      <c r="I940" s="258"/>
      <c r="J940" s="258"/>
      <c r="K940" s="258"/>
      <c r="L940" s="258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</row>
    <row r="941" spans="1:25" ht="20.25" customHeight="1">
      <c r="A941" s="267"/>
      <c r="B941" s="267"/>
      <c r="C941" s="267"/>
      <c r="D941" s="267"/>
      <c r="E941" s="267"/>
      <c r="F941" s="267"/>
      <c r="G941" s="267"/>
      <c r="H941" s="267"/>
      <c r="I941" s="258"/>
      <c r="J941" s="258"/>
      <c r="K941" s="258"/>
      <c r="L941" s="258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</row>
    <row r="942" spans="1:25" ht="20.25" customHeight="1">
      <c r="A942" s="267"/>
      <c r="B942" s="267"/>
      <c r="C942" s="267"/>
      <c r="D942" s="267"/>
      <c r="E942" s="267"/>
      <c r="F942" s="267"/>
      <c r="G942" s="267"/>
      <c r="H942" s="267"/>
      <c r="I942" s="258"/>
      <c r="J942" s="258"/>
      <c r="K942" s="258"/>
      <c r="L942" s="258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</row>
    <row r="943" spans="1:25" ht="20.25" customHeight="1">
      <c r="A943" s="267"/>
      <c r="B943" s="267"/>
      <c r="C943" s="267"/>
      <c r="D943" s="267"/>
      <c r="E943" s="267"/>
      <c r="F943" s="267"/>
      <c r="G943" s="267"/>
      <c r="H943" s="267"/>
      <c r="I943" s="258"/>
      <c r="J943" s="258"/>
      <c r="K943" s="258"/>
      <c r="L943" s="258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</row>
    <row r="944" spans="1:25" ht="20.25" customHeight="1">
      <c r="A944" s="267"/>
      <c r="B944" s="267"/>
      <c r="C944" s="267"/>
      <c r="D944" s="267"/>
      <c r="E944" s="267"/>
      <c r="F944" s="267"/>
      <c r="G944" s="267"/>
      <c r="H944" s="267"/>
      <c r="I944" s="258"/>
      <c r="J944" s="258"/>
      <c r="K944" s="258"/>
      <c r="L944" s="258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</row>
    <row r="945" spans="1:25" ht="20.25" customHeight="1">
      <c r="A945" s="267"/>
      <c r="B945" s="267"/>
      <c r="C945" s="267"/>
      <c r="D945" s="267"/>
      <c r="E945" s="267"/>
      <c r="F945" s="267"/>
      <c r="G945" s="267"/>
      <c r="H945" s="267"/>
      <c r="I945" s="258"/>
      <c r="J945" s="258"/>
      <c r="K945" s="258"/>
      <c r="L945" s="258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</row>
    <row r="946" spans="1:25" ht="20.25" customHeight="1">
      <c r="A946" s="267"/>
      <c r="B946" s="267"/>
      <c r="C946" s="267"/>
      <c r="D946" s="267"/>
      <c r="E946" s="267"/>
      <c r="F946" s="267"/>
      <c r="G946" s="267"/>
      <c r="H946" s="267"/>
      <c r="I946" s="258"/>
      <c r="J946" s="258"/>
      <c r="K946" s="258"/>
      <c r="L946" s="258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</row>
    <row r="947" spans="1:25" ht="20.25" customHeight="1">
      <c r="A947" s="267"/>
      <c r="B947" s="267"/>
      <c r="C947" s="267"/>
      <c r="D947" s="267"/>
      <c r="E947" s="267"/>
      <c r="F947" s="267"/>
      <c r="G947" s="267"/>
      <c r="H947" s="267"/>
      <c r="I947" s="258"/>
      <c r="J947" s="258"/>
      <c r="K947" s="258"/>
      <c r="L947" s="258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</row>
    <row r="948" spans="1:25" ht="20.25" customHeight="1">
      <c r="A948" s="267"/>
      <c r="B948" s="267"/>
      <c r="C948" s="267"/>
      <c r="D948" s="267"/>
      <c r="E948" s="267"/>
      <c r="F948" s="267"/>
      <c r="G948" s="267"/>
      <c r="H948" s="267"/>
      <c r="I948" s="258"/>
      <c r="J948" s="258"/>
      <c r="K948" s="258"/>
      <c r="L948" s="258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</row>
    <row r="949" spans="1:25" ht="20.25" customHeight="1">
      <c r="A949" s="267"/>
      <c r="B949" s="267"/>
      <c r="C949" s="267"/>
      <c r="D949" s="267"/>
      <c r="E949" s="267"/>
      <c r="F949" s="267"/>
      <c r="G949" s="267"/>
      <c r="H949" s="267"/>
      <c r="I949" s="258"/>
      <c r="J949" s="258"/>
      <c r="K949" s="258"/>
      <c r="L949" s="258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</row>
    <row r="950" spans="1:25" ht="20.25" customHeight="1">
      <c r="A950" s="267"/>
      <c r="B950" s="267"/>
      <c r="C950" s="267"/>
      <c r="D950" s="267"/>
      <c r="E950" s="267"/>
      <c r="F950" s="267"/>
      <c r="G950" s="267"/>
      <c r="H950" s="267"/>
      <c r="I950" s="258"/>
      <c r="J950" s="258"/>
      <c r="K950" s="258"/>
      <c r="L950" s="258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</row>
    <row r="951" spans="1:25" ht="20.25" customHeight="1">
      <c r="A951" s="267"/>
      <c r="B951" s="267"/>
      <c r="C951" s="267"/>
      <c r="D951" s="267"/>
      <c r="E951" s="267"/>
      <c r="F951" s="267"/>
      <c r="G951" s="267"/>
      <c r="H951" s="267"/>
      <c r="I951" s="258"/>
      <c r="J951" s="258"/>
      <c r="K951" s="258"/>
      <c r="L951" s="258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</row>
    <row r="952" spans="1:25" ht="20.25" customHeight="1">
      <c r="A952" s="267"/>
      <c r="B952" s="267"/>
      <c r="C952" s="267"/>
      <c r="D952" s="267"/>
      <c r="E952" s="267"/>
      <c r="F952" s="267"/>
      <c r="G952" s="267"/>
      <c r="H952" s="267"/>
      <c r="I952" s="258"/>
      <c r="J952" s="258"/>
      <c r="K952" s="258"/>
      <c r="L952" s="258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</row>
    <row r="953" spans="1:25" ht="20.25" customHeight="1">
      <c r="A953" s="267"/>
      <c r="B953" s="267"/>
      <c r="C953" s="267"/>
      <c r="D953" s="267"/>
      <c r="E953" s="267"/>
      <c r="F953" s="267"/>
      <c r="G953" s="267"/>
      <c r="H953" s="267"/>
      <c r="I953" s="258"/>
      <c r="J953" s="258"/>
      <c r="K953" s="258"/>
      <c r="L953" s="258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</row>
    <row r="954" spans="1:25" ht="20.25" customHeight="1">
      <c r="A954" s="267"/>
      <c r="B954" s="267"/>
      <c r="C954" s="267"/>
      <c r="D954" s="267"/>
      <c r="E954" s="267"/>
      <c r="F954" s="267"/>
      <c r="G954" s="267"/>
      <c r="H954" s="267"/>
      <c r="I954" s="258"/>
      <c r="J954" s="258"/>
      <c r="K954" s="258"/>
      <c r="L954" s="258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</row>
    <row r="955" spans="1:25" ht="20.25" customHeight="1">
      <c r="A955" s="267"/>
      <c r="B955" s="267"/>
      <c r="C955" s="267"/>
      <c r="D955" s="267"/>
      <c r="E955" s="267"/>
      <c r="F955" s="267"/>
      <c r="G955" s="267"/>
      <c r="H955" s="267"/>
      <c r="I955" s="258"/>
      <c r="J955" s="258"/>
      <c r="K955" s="258"/>
      <c r="L955" s="258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</row>
    <row r="956" spans="1:25" ht="20.25" customHeight="1">
      <c r="A956" s="267"/>
      <c r="B956" s="267"/>
      <c r="C956" s="267"/>
      <c r="D956" s="267"/>
      <c r="E956" s="267"/>
      <c r="F956" s="267"/>
      <c r="G956" s="267"/>
      <c r="H956" s="267"/>
      <c r="I956" s="258"/>
      <c r="J956" s="258"/>
      <c r="K956" s="258"/>
      <c r="L956" s="258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</row>
    <row r="957" spans="1:25" ht="20.25" customHeight="1">
      <c r="A957" s="267"/>
      <c r="B957" s="267"/>
      <c r="C957" s="267"/>
      <c r="D957" s="267"/>
      <c r="E957" s="267"/>
      <c r="F957" s="267"/>
      <c r="G957" s="267"/>
      <c r="H957" s="267"/>
      <c r="I957" s="258"/>
      <c r="J957" s="258"/>
      <c r="K957" s="258"/>
      <c r="L957" s="258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</row>
    <row r="958" spans="1:25" ht="20.25" customHeight="1">
      <c r="A958" s="267"/>
      <c r="B958" s="267"/>
      <c r="C958" s="267"/>
      <c r="D958" s="267"/>
      <c r="E958" s="267"/>
      <c r="F958" s="267"/>
      <c r="G958" s="267"/>
      <c r="H958" s="267"/>
      <c r="I958" s="258"/>
      <c r="J958" s="258"/>
      <c r="K958" s="258"/>
      <c r="L958" s="258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</row>
    <row r="959" spans="1:25" ht="20.25" customHeight="1">
      <c r="A959" s="267"/>
      <c r="B959" s="267"/>
      <c r="C959" s="267"/>
      <c r="D959" s="267"/>
      <c r="E959" s="267"/>
      <c r="F959" s="267"/>
      <c r="G959" s="267"/>
      <c r="H959" s="267"/>
      <c r="I959" s="258"/>
      <c r="J959" s="258"/>
      <c r="K959" s="258"/>
      <c r="L959" s="258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</row>
    <row r="960" spans="1:25" ht="20.25" customHeight="1">
      <c r="A960" s="267"/>
      <c r="B960" s="267"/>
      <c r="C960" s="267"/>
      <c r="D960" s="267"/>
      <c r="E960" s="267"/>
      <c r="F960" s="267"/>
      <c r="G960" s="267"/>
      <c r="H960" s="267"/>
      <c r="I960" s="258"/>
      <c r="J960" s="258"/>
      <c r="K960" s="258"/>
      <c r="L960" s="258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</row>
    <row r="961" spans="1:25" ht="20.25" customHeight="1">
      <c r="A961" s="267"/>
      <c r="B961" s="267"/>
      <c r="C961" s="267"/>
      <c r="D961" s="267"/>
      <c r="E961" s="267"/>
      <c r="F961" s="267"/>
      <c r="G961" s="267"/>
      <c r="H961" s="267"/>
      <c r="I961" s="258"/>
      <c r="J961" s="258"/>
      <c r="K961" s="258"/>
      <c r="L961" s="258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</row>
    <row r="962" spans="1:25" ht="20.25" customHeight="1">
      <c r="A962" s="267"/>
      <c r="B962" s="267"/>
      <c r="C962" s="267"/>
      <c r="D962" s="267"/>
      <c r="E962" s="267"/>
      <c r="F962" s="267"/>
      <c r="G962" s="267"/>
      <c r="H962" s="267"/>
      <c r="I962" s="258"/>
      <c r="J962" s="258"/>
      <c r="K962" s="258"/>
      <c r="L962" s="258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</row>
    <row r="963" spans="1:25" ht="20.25" customHeight="1">
      <c r="A963" s="267"/>
      <c r="B963" s="267"/>
      <c r="C963" s="267"/>
      <c r="D963" s="267"/>
      <c r="E963" s="267"/>
      <c r="F963" s="267"/>
      <c r="G963" s="267"/>
      <c r="H963" s="267"/>
      <c r="I963" s="258"/>
      <c r="J963" s="258"/>
      <c r="K963" s="258"/>
      <c r="L963" s="258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</row>
    <row r="964" spans="1:25" ht="20.25" customHeight="1">
      <c r="A964" s="267"/>
      <c r="B964" s="267"/>
      <c r="C964" s="267"/>
      <c r="D964" s="267"/>
      <c r="E964" s="267"/>
      <c r="F964" s="267"/>
      <c r="G964" s="267"/>
      <c r="H964" s="267"/>
      <c r="I964" s="258"/>
      <c r="J964" s="258"/>
      <c r="K964" s="258"/>
      <c r="L964" s="258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</row>
    <row r="965" spans="1:25" ht="20.25" customHeight="1">
      <c r="A965" s="267"/>
      <c r="B965" s="267"/>
      <c r="C965" s="267"/>
      <c r="D965" s="267"/>
      <c r="E965" s="267"/>
      <c r="F965" s="267"/>
      <c r="G965" s="267"/>
      <c r="H965" s="267"/>
      <c r="I965" s="258"/>
      <c r="J965" s="258"/>
      <c r="K965" s="258"/>
      <c r="L965" s="258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</row>
    <row r="966" spans="1:25" ht="20.25" customHeight="1">
      <c r="A966" s="267"/>
      <c r="B966" s="267"/>
      <c r="C966" s="267"/>
      <c r="D966" s="267"/>
      <c r="E966" s="267"/>
      <c r="F966" s="267"/>
      <c r="G966" s="267"/>
      <c r="H966" s="267"/>
      <c r="I966" s="258"/>
      <c r="J966" s="258"/>
      <c r="K966" s="258"/>
      <c r="L966" s="258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</row>
    <row r="967" spans="1:25" ht="20.25" customHeight="1">
      <c r="A967" s="267"/>
      <c r="B967" s="267"/>
      <c r="C967" s="267"/>
      <c r="D967" s="267"/>
      <c r="E967" s="267"/>
      <c r="F967" s="267"/>
      <c r="G967" s="267"/>
      <c r="H967" s="267"/>
      <c r="I967" s="258"/>
      <c r="J967" s="258"/>
      <c r="K967" s="258"/>
      <c r="L967" s="258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</row>
    <row r="968" spans="1:25" ht="20.25" customHeight="1">
      <c r="A968" s="267"/>
      <c r="B968" s="267"/>
      <c r="C968" s="267"/>
      <c r="D968" s="267"/>
      <c r="E968" s="267"/>
      <c r="F968" s="267"/>
      <c r="G968" s="267"/>
      <c r="H968" s="267"/>
      <c r="I968" s="258"/>
      <c r="J968" s="258"/>
      <c r="K968" s="258"/>
      <c r="L968" s="258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</row>
    <row r="969" spans="1:25" ht="20.25" customHeight="1">
      <c r="A969" s="267"/>
      <c r="B969" s="267"/>
      <c r="C969" s="267"/>
      <c r="D969" s="267"/>
      <c r="E969" s="267"/>
      <c r="F969" s="267"/>
      <c r="G969" s="267"/>
      <c r="H969" s="267"/>
      <c r="I969" s="258"/>
      <c r="J969" s="258"/>
      <c r="K969" s="258"/>
      <c r="L969" s="258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</row>
    <row r="970" spans="1:25" ht="20.25" customHeight="1">
      <c r="A970" s="267"/>
      <c r="B970" s="267"/>
      <c r="C970" s="267"/>
      <c r="D970" s="267"/>
      <c r="E970" s="267"/>
      <c r="F970" s="267"/>
      <c r="G970" s="267"/>
      <c r="H970" s="267"/>
      <c r="I970" s="258"/>
      <c r="J970" s="258"/>
      <c r="K970" s="258"/>
      <c r="L970" s="258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</row>
    <row r="971" spans="1:25" ht="20.25" customHeight="1">
      <c r="A971" s="267"/>
      <c r="B971" s="267"/>
      <c r="C971" s="267"/>
      <c r="D971" s="267"/>
      <c r="E971" s="267"/>
      <c r="F971" s="267"/>
      <c r="G971" s="267"/>
      <c r="H971" s="267"/>
      <c r="I971" s="258"/>
      <c r="J971" s="258"/>
      <c r="K971" s="258"/>
      <c r="L971" s="258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</row>
    <row r="972" spans="1:25" ht="20.25" customHeight="1">
      <c r="A972" s="267"/>
      <c r="B972" s="267"/>
      <c r="C972" s="267"/>
      <c r="D972" s="267"/>
      <c r="E972" s="267"/>
      <c r="F972" s="267"/>
      <c r="G972" s="267"/>
      <c r="H972" s="267"/>
      <c r="I972" s="258"/>
      <c r="J972" s="258"/>
      <c r="K972" s="258"/>
      <c r="L972" s="258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</row>
    <row r="973" spans="1:25" ht="20.25" customHeight="1">
      <c r="A973" s="267"/>
      <c r="B973" s="267"/>
      <c r="C973" s="267"/>
      <c r="D973" s="267"/>
      <c r="E973" s="267"/>
      <c r="F973" s="267"/>
      <c r="G973" s="267"/>
      <c r="H973" s="267"/>
      <c r="I973" s="258"/>
      <c r="J973" s="258"/>
      <c r="K973" s="258"/>
      <c r="L973" s="258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</row>
    <row r="974" spans="1:25" ht="20.25" customHeight="1">
      <c r="A974" s="267"/>
      <c r="B974" s="267"/>
      <c r="C974" s="267"/>
      <c r="D974" s="267"/>
      <c r="E974" s="267"/>
      <c r="F974" s="267"/>
      <c r="G974" s="267"/>
      <c r="H974" s="267"/>
      <c r="I974" s="258"/>
      <c r="J974" s="258"/>
      <c r="K974" s="258"/>
      <c r="L974" s="258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</row>
    <row r="975" spans="1:25" ht="20.25" customHeight="1">
      <c r="A975" s="267"/>
      <c r="B975" s="267"/>
      <c r="C975" s="267"/>
      <c r="D975" s="267"/>
      <c r="E975" s="267"/>
      <c r="F975" s="267"/>
      <c r="G975" s="267"/>
      <c r="H975" s="267"/>
      <c r="I975" s="258"/>
      <c r="J975" s="258"/>
      <c r="K975" s="258"/>
      <c r="L975" s="258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</row>
    <row r="976" spans="1:25" ht="20.25" customHeight="1">
      <c r="A976" s="267"/>
      <c r="B976" s="267"/>
      <c r="C976" s="267"/>
      <c r="D976" s="267"/>
      <c r="E976" s="267"/>
      <c r="F976" s="267"/>
      <c r="G976" s="267"/>
      <c r="H976" s="267"/>
      <c r="I976" s="258"/>
      <c r="J976" s="258"/>
      <c r="K976" s="258"/>
      <c r="L976" s="258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</row>
    <row r="977" spans="1:25" ht="20.25" customHeight="1">
      <c r="A977" s="267"/>
      <c r="B977" s="267"/>
      <c r="C977" s="267"/>
      <c r="D977" s="267"/>
      <c r="E977" s="267"/>
      <c r="F977" s="267"/>
      <c r="G977" s="267"/>
      <c r="H977" s="267"/>
      <c r="I977" s="258"/>
      <c r="J977" s="258"/>
      <c r="K977" s="258"/>
      <c r="L977" s="258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</row>
    <row r="978" spans="1:25" ht="20.25" customHeight="1">
      <c r="A978" s="267"/>
      <c r="B978" s="267"/>
      <c r="C978" s="267"/>
      <c r="D978" s="267"/>
      <c r="E978" s="267"/>
      <c r="F978" s="267"/>
      <c r="G978" s="267"/>
      <c r="H978" s="267"/>
      <c r="I978" s="258"/>
      <c r="J978" s="258"/>
      <c r="K978" s="258"/>
      <c r="L978" s="258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</row>
    <row r="979" spans="1:25" ht="20.25" customHeight="1">
      <c r="A979" s="267"/>
      <c r="B979" s="267"/>
      <c r="C979" s="267"/>
      <c r="D979" s="267"/>
      <c r="E979" s="267"/>
      <c r="F979" s="267"/>
      <c r="G979" s="267"/>
      <c r="H979" s="267"/>
      <c r="I979" s="258"/>
      <c r="J979" s="258"/>
      <c r="K979" s="258"/>
      <c r="L979" s="258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</row>
    <row r="980" spans="1:25" ht="20.25" customHeight="1">
      <c r="A980" s="267"/>
      <c r="B980" s="267"/>
      <c r="C980" s="267"/>
      <c r="D980" s="267"/>
      <c r="E980" s="267"/>
      <c r="F980" s="267"/>
      <c r="G980" s="267"/>
      <c r="H980" s="267"/>
      <c r="I980" s="258"/>
      <c r="J980" s="258"/>
      <c r="K980" s="258"/>
      <c r="L980" s="258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</row>
    <row r="981" spans="1:25" ht="20.25" customHeight="1">
      <c r="A981" s="267"/>
      <c r="B981" s="267"/>
      <c r="C981" s="267"/>
      <c r="D981" s="267"/>
      <c r="E981" s="267"/>
      <c r="F981" s="267"/>
      <c r="G981" s="267"/>
      <c r="H981" s="267"/>
      <c r="I981" s="258"/>
      <c r="J981" s="258"/>
      <c r="K981" s="258"/>
      <c r="L981" s="258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</row>
    <row r="982" spans="1:25" ht="20.25" customHeight="1">
      <c r="A982" s="267"/>
      <c r="B982" s="267"/>
      <c r="C982" s="267"/>
      <c r="D982" s="267"/>
      <c r="E982" s="267"/>
      <c r="F982" s="267"/>
      <c r="G982" s="267"/>
      <c r="H982" s="267"/>
      <c r="I982" s="258"/>
      <c r="J982" s="258"/>
      <c r="K982" s="258"/>
      <c r="L982" s="258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</row>
    <row r="983" spans="1:25" ht="20.25" customHeight="1">
      <c r="A983" s="267"/>
      <c r="B983" s="267"/>
      <c r="C983" s="267"/>
      <c r="D983" s="267"/>
      <c r="E983" s="267"/>
      <c r="F983" s="267"/>
      <c r="G983" s="267"/>
      <c r="H983" s="267"/>
      <c r="I983" s="258"/>
      <c r="J983" s="258"/>
      <c r="K983" s="258"/>
      <c r="L983" s="258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</row>
    <row r="984" spans="1:25" ht="20.25" customHeight="1">
      <c r="A984" s="267"/>
      <c r="B984" s="267"/>
      <c r="C984" s="267"/>
      <c r="D984" s="267"/>
      <c r="E984" s="267"/>
      <c r="F984" s="267"/>
      <c r="G984" s="267"/>
      <c r="H984" s="267"/>
      <c r="I984" s="258"/>
      <c r="J984" s="258"/>
      <c r="K984" s="258"/>
      <c r="L984" s="258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</row>
    <row r="985" spans="1:25" ht="20.25" customHeight="1">
      <c r="A985" s="267"/>
      <c r="B985" s="267"/>
      <c r="C985" s="267"/>
      <c r="D985" s="267"/>
      <c r="E985" s="267"/>
      <c r="F985" s="267"/>
      <c r="G985" s="267"/>
      <c r="H985" s="267"/>
      <c r="I985" s="258"/>
      <c r="J985" s="258"/>
      <c r="K985" s="258"/>
      <c r="L985" s="258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</row>
    <row r="986" spans="1:25" ht="20.25" customHeight="1">
      <c r="A986" s="267"/>
      <c r="B986" s="267"/>
      <c r="C986" s="267"/>
      <c r="D986" s="267"/>
      <c r="E986" s="267"/>
      <c r="F986" s="267"/>
      <c r="G986" s="267"/>
      <c r="H986" s="267"/>
      <c r="I986" s="258"/>
      <c r="J986" s="258"/>
      <c r="K986" s="258"/>
      <c r="L986" s="258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</row>
    <row r="987" spans="1:25" ht="15" customHeight="1">
      <c r="A987" s="292"/>
      <c r="B987" s="292"/>
      <c r="C987" s="292"/>
      <c r="D987" s="292"/>
      <c r="E987" s="292"/>
      <c r="F987" s="292"/>
      <c r="G987" s="292"/>
      <c r="H987" s="292"/>
      <c r="M987" s="292"/>
      <c r="N987" s="292"/>
      <c r="O987" s="292"/>
      <c r="P987" s="292"/>
      <c r="Q987" s="292"/>
      <c r="R987" s="292"/>
      <c r="S987" s="292"/>
      <c r="T987" s="292"/>
      <c r="U987" s="292"/>
      <c r="V987" s="292"/>
      <c r="W987" s="292"/>
      <c r="X987" s="292"/>
      <c r="Y987" s="292"/>
    </row>
    <row r="988" spans="1:25" ht="15" customHeight="1">
      <c r="A988" s="292"/>
      <c r="B988" s="292"/>
      <c r="C988" s="292"/>
      <c r="D988" s="292"/>
      <c r="E988" s="292"/>
      <c r="F988" s="292"/>
      <c r="G988" s="292"/>
      <c r="H988" s="292"/>
      <c r="M988" s="292"/>
      <c r="N988" s="292"/>
      <c r="O988" s="292"/>
      <c r="P988" s="292"/>
      <c r="Q988" s="292"/>
      <c r="R988" s="292"/>
      <c r="S988" s="292"/>
      <c r="T988" s="292"/>
      <c r="U988" s="292"/>
      <c r="V988" s="292"/>
      <c r="W988" s="292"/>
      <c r="X988" s="292"/>
      <c r="Y988" s="292"/>
    </row>
  </sheetData>
  <autoFilter ref="A3:Y988" xr:uid="{00000000-0001-0000-0600-000000000000}"/>
  <phoneticPr fontId="31" type="noConversion"/>
  <pageMargins left="0.70763888888888904" right="0.70763888888888904" top="0.359027777777778" bottom="0.74791666666666701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E2B9-384F-433B-9206-0CBA6B8F2943}">
  <sheetPr codeName="Sheet8">
    <tabColor rgb="FF002060"/>
  </sheetPr>
  <dimension ref="A1:AD787"/>
  <sheetViews>
    <sheetView showGridLines="0" workbookViewId="0">
      <pane xSplit="3" ySplit="4" topLeftCell="D24" activePane="bottomRight" state="frozen"/>
      <selection pane="topRight"/>
      <selection pane="bottomLeft"/>
      <selection pane="bottomRight" activeCell="E30" sqref="E30"/>
    </sheetView>
  </sheetViews>
  <sheetFormatPr defaultColWidth="12.59765625" defaultRowHeight="15" customHeight="1"/>
  <cols>
    <col min="2" max="2" width="14.19921875" customWidth="1"/>
    <col min="3" max="3" width="7.59765625" customWidth="1"/>
    <col min="4" max="4" width="24.09765625" style="166" customWidth="1"/>
    <col min="5" max="5" width="11.19921875" style="166" bestFit="1" customWidth="1"/>
    <col min="6" max="6" width="11.59765625" style="166" bestFit="1" customWidth="1"/>
    <col min="7" max="7" width="9.19921875" style="166" customWidth="1"/>
    <col min="8" max="8" width="9.09765625" bestFit="1" customWidth="1"/>
    <col min="9" max="9" width="35.59765625" customWidth="1"/>
    <col min="10" max="11" width="9.19921875" customWidth="1"/>
    <col min="12" max="12" width="24.5" customWidth="1"/>
    <col min="13" max="30" width="9.09765625" customWidth="1"/>
  </cols>
  <sheetData>
    <row r="1" spans="1:30" ht="13.5" customHeight="1">
      <c r="H1" s="11"/>
      <c r="I1" s="1"/>
      <c r="J1" s="7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5" customHeight="1">
      <c r="A2" s="2" t="s">
        <v>915</v>
      </c>
      <c r="B2" s="2"/>
      <c r="I2" s="1"/>
      <c r="J2" s="11" t="s">
        <v>914</v>
      </c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.5" customHeight="1">
      <c r="H3" s="11"/>
      <c r="I3" s="1"/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6" customHeight="1">
      <c r="A4" s="77" t="s">
        <v>911</v>
      </c>
      <c r="B4" s="77" t="s">
        <v>912</v>
      </c>
      <c r="C4" s="77" t="s">
        <v>676</v>
      </c>
      <c r="D4" s="77" t="s">
        <v>677</v>
      </c>
      <c r="E4" s="77" t="s">
        <v>675</v>
      </c>
      <c r="F4" s="77" t="s">
        <v>902</v>
      </c>
      <c r="G4" s="77" t="s">
        <v>910</v>
      </c>
      <c r="H4" s="77" t="s">
        <v>678</v>
      </c>
      <c r="I4" s="78" t="s">
        <v>411</v>
      </c>
      <c r="J4" s="79" t="s">
        <v>28</v>
      </c>
      <c r="K4" s="79" t="s">
        <v>412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.75" customHeight="1">
      <c r="A5" s="52"/>
      <c r="B5" s="6"/>
      <c r="C5" s="52" t="s">
        <v>312</v>
      </c>
      <c r="D5" s="51"/>
      <c r="E5" s="51"/>
      <c r="F5" s="51"/>
      <c r="G5" s="51"/>
      <c r="H5" s="52" t="s">
        <v>312</v>
      </c>
      <c r="I5" s="6" t="s">
        <v>367</v>
      </c>
      <c r="J5" s="80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21.75" customHeight="1">
      <c r="A6" s="252">
        <v>1</v>
      </c>
      <c r="B6" s="253" t="s">
        <v>913</v>
      </c>
      <c r="C6" s="254"/>
      <c r="D6" s="255"/>
      <c r="E6" s="252"/>
      <c r="F6" s="253"/>
      <c r="G6" s="253"/>
      <c r="H6" s="252">
        <v>10000</v>
      </c>
      <c r="I6" s="253" t="s">
        <v>918</v>
      </c>
      <c r="J6" s="256" t="s">
        <v>30</v>
      </c>
      <c r="K6" s="256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1.75" customHeight="1">
      <c r="A7" s="81"/>
      <c r="B7" s="82"/>
      <c r="C7" s="241">
        <v>111</v>
      </c>
      <c r="D7" s="251" t="s">
        <v>877</v>
      </c>
      <c r="E7" s="81"/>
      <c r="F7" s="82"/>
      <c r="G7" s="82"/>
      <c r="H7" s="81" t="str">
        <f>C7&amp;"00"</f>
        <v>11100</v>
      </c>
      <c r="I7" s="82" t="str">
        <f>D7</f>
        <v>Bộ phận Kinh doanh</v>
      </c>
      <c r="J7" s="83"/>
      <c r="K7" s="83">
        <v>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1.75" customHeight="1">
      <c r="A8" s="84"/>
      <c r="B8" s="85"/>
      <c r="C8" s="84">
        <f t="shared" ref="C8:C13" si="0">$C$7</f>
        <v>111</v>
      </c>
      <c r="D8" s="167" t="s">
        <v>877</v>
      </c>
      <c r="E8" s="167">
        <v>10</v>
      </c>
      <c r="F8" s="167" t="str">
        <f>VLOOKUP($E8,'Bo phan'!$B$31:$D$39,2,0)</f>
        <v>Hồ Chí Minh</v>
      </c>
      <c r="G8" s="167" t="str">
        <f>VLOOKUP($E8,'Bo phan'!$B$31:$D$39,3,0)</f>
        <v>HCM</v>
      </c>
      <c r="H8" s="84" t="str">
        <f>C8&amp;E8</f>
        <v>11110</v>
      </c>
      <c r="I8" s="85" t="str">
        <f>G8&amp;"."&amp;D8</f>
        <v>HCM.Bộ phận Kinh doanh</v>
      </c>
      <c r="J8" s="86"/>
      <c r="K8" s="86">
        <v>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1.75" customHeight="1">
      <c r="A9" s="84"/>
      <c r="B9" s="85"/>
      <c r="C9" s="84">
        <f t="shared" si="0"/>
        <v>111</v>
      </c>
      <c r="D9" s="167" t="s">
        <v>877</v>
      </c>
      <c r="E9" s="167">
        <v>20</v>
      </c>
      <c r="F9" s="167" t="str">
        <f>VLOOKUP(E9,'Bo phan'!$B$31:$D$39,2,0)</f>
        <v>Nha Trang</v>
      </c>
      <c r="G9" s="167" t="str">
        <f>VLOOKUP($E9,'Bo phan'!$B$31:$D$39,3,0)</f>
        <v>NTR</v>
      </c>
      <c r="H9" s="84" t="str">
        <f t="shared" ref="H9:H13" si="1">C9&amp;E9</f>
        <v>11120</v>
      </c>
      <c r="I9" s="85" t="str">
        <f t="shared" ref="I9:I13" si="2">G9&amp;"."&amp;D9</f>
        <v>NTR.Bộ phận Kinh doanh</v>
      </c>
      <c r="J9" s="86"/>
      <c r="K9" s="86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1.75" customHeight="1">
      <c r="A10" s="84"/>
      <c r="B10" s="85"/>
      <c r="C10" s="84">
        <f t="shared" si="0"/>
        <v>111</v>
      </c>
      <c r="D10" s="167" t="s">
        <v>877</v>
      </c>
      <c r="E10" s="167">
        <v>30</v>
      </c>
      <c r="F10" s="167" t="str">
        <f>VLOOKUP(E10,'Bo phan'!$B$31:$D$39,2,0)</f>
        <v>Đắc Lắc</v>
      </c>
      <c r="G10" s="167" t="str">
        <f>VLOOKUP($E10,'Bo phan'!$B$31:$D$39,3,0)</f>
        <v>DLA</v>
      </c>
      <c r="H10" s="84" t="str">
        <f t="shared" si="1"/>
        <v>11130</v>
      </c>
      <c r="I10" s="85" t="str">
        <f t="shared" si="2"/>
        <v>DLA.Bộ phận Kinh doanh</v>
      </c>
      <c r="J10" s="86"/>
      <c r="K10" s="86">
        <v>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.75" customHeight="1">
      <c r="A11" s="84"/>
      <c r="B11" s="85"/>
      <c r="C11" s="84">
        <f t="shared" si="0"/>
        <v>111</v>
      </c>
      <c r="D11" s="167" t="s">
        <v>877</v>
      </c>
      <c r="E11" s="167">
        <v>40</v>
      </c>
      <c r="F11" s="167" t="str">
        <f>VLOOKUP(E11,'Bo phan'!$B$31:$D$39,2,0)</f>
        <v>Đà Nẵng</v>
      </c>
      <c r="G11" s="167" t="str">
        <f>VLOOKUP($E11,'Bo phan'!$B$31:$D$39,3,0)</f>
        <v>DNG</v>
      </c>
      <c r="H11" s="84" t="str">
        <f t="shared" si="1"/>
        <v>11140</v>
      </c>
      <c r="I11" s="85" t="str">
        <f t="shared" si="2"/>
        <v>DNG.Bộ phận Kinh doanh</v>
      </c>
      <c r="J11" s="86"/>
      <c r="K11" s="86">
        <v>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1.75" customHeight="1">
      <c r="A12" s="84"/>
      <c r="B12" s="85"/>
      <c r="C12" s="84">
        <f t="shared" si="0"/>
        <v>111</v>
      </c>
      <c r="D12" s="167" t="s">
        <v>877</v>
      </c>
      <c r="E12" s="167">
        <v>50</v>
      </c>
      <c r="F12" s="167" t="str">
        <f>VLOOKUP(E12,'Bo phan'!$B$31:$D$39,2,0)</f>
        <v>Hà Nội</v>
      </c>
      <c r="G12" s="167" t="str">
        <f>VLOOKUP($E12,'Bo phan'!$B$31:$D$39,3,0)</f>
        <v>HNO</v>
      </c>
      <c r="H12" s="84" t="str">
        <f t="shared" si="1"/>
        <v>11150</v>
      </c>
      <c r="I12" s="85" t="str">
        <f t="shared" si="2"/>
        <v>HNO.Bộ phận Kinh doanh</v>
      </c>
      <c r="J12" s="86"/>
      <c r="K12" s="86">
        <v>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1.75" customHeight="1">
      <c r="A13" s="84"/>
      <c r="B13" s="85"/>
      <c r="C13" s="84">
        <f t="shared" si="0"/>
        <v>111</v>
      </c>
      <c r="D13" s="167" t="s">
        <v>877</v>
      </c>
      <c r="E13" s="167">
        <v>60</v>
      </c>
      <c r="F13" s="167" t="str">
        <f>VLOOKUP(E13,'Bo phan'!$B$31:$D$39,2,0)</f>
        <v>Cần Thơ</v>
      </c>
      <c r="G13" s="167" t="str">
        <f>VLOOKUP($E13,'Bo phan'!$B$31:$D$39,3,0)</f>
        <v>CTH</v>
      </c>
      <c r="H13" s="84" t="str">
        <f t="shared" si="1"/>
        <v>11160</v>
      </c>
      <c r="I13" s="85" t="str">
        <f t="shared" si="2"/>
        <v>CTH.Bộ phận Kinh doanh</v>
      </c>
      <c r="J13" s="86"/>
      <c r="K13" s="86">
        <v>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1.75" customHeight="1">
      <c r="A14" s="81"/>
      <c r="B14" s="82"/>
      <c r="C14" s="241">
        <v>112</v>
      </c>
      <c r="D14" s="251" t="s">
        <v>878</v>
      </c>
      <c r="E14" s="81"/>
      <c r="F14" s="82"/>
      <c r="G14" s="82"/>
      <c r="H14" s="81" t="str">
        <f>C14&amp;"00"</f>
        <v>11200</v>
      </c>
      <c r="I14" s="82" t="str">
        <f>D14</f>
        <v>Bộ phận Logistic - Quản lý</v>
      </c>
      <c r="J14" s="83"/>
      <c r="K14" s="83">
        <v>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.75" customHeight="1">
      <c r="A15" s="84"/>
      <c r="B15" s="85"/>
      <c r="C15" s="84">
        <f t="shared" ref="C15:C20" si="3">$C$14</f>
        <v>112</v>
      </c>
      <c r="D15" s="167" t="s">
        <v>878</v>
      </c>
      <c r="E15" s="167">
        <v>10</v>
      </c>
      <c r="F15" s="167" t="str">
        <f>VLOOKUP($E15,'Bo phan'!$B$31:$D$39,2,0)</f>
        <v>Hồ Chí Minh</v>
      </c>
      <c r="G15" s="167" t="str">
        <f>VLOOKUP($E15,'Bo phan'!$B$31:$D$39,3,0)</f>
        <v>HCM</v>
      </c>
      <c r="H15" s="84" t="str">
        <f>C15&amp;E15</f>
        <v>11210</v>
      </c>
      <c r="I15" s="85" t="str">
        <f>G15&amp;"."&amp;D15</f>
        <v>HCM.Bộ phận Logistic - Quản lý</v>
      </c>
      <c r="J15" s="86"/>
      <c r="K15" s="86">
        <v>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1.75" customHeight="1">
      <c r="A16" s="84"/>
      <c r="B16" s="85"/>
      <c r="C16" s="84">
        <f t="shared" si="3"/>
        <v>112</v>
      </c>
      <c r="D16" s="167" t="s">
        <v>878</v>
      </c>
      <c r="E16" s="167">
        <v>20</v>
      </c>
      <c r="F16" s="167" t="str">
        <f>VLOOKUP(E16,'Bo phan'!$B$31:$D$39,2,0)</f>
        <v>Nha Trang</v>
      </c>
      <c r="G16" s="167" t="str">
        <f>VLOOKUP($E16,'Bo phan'!$B$31:$D$39,3,0)</f>
        <v>NTR</v>
      </c>
      <c r="H16" s="84" t="str">
        <f t="shared" ref="H16:H20" si="4">C16&amp;E16</f>
        <v>11220</v>
      </c>
      <c r="I16" s="85" t="str">
        <f t="shared" ref="I16:I20" si="5">G16&amp;"."&amp;D16</f>
        <v>NTR.Bộ phận Logistic - Quản lý</v>
      </c>
      <c r="J16" s="86"/>
      <c r="K16" s="86">
        <v>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1.75" customHeight="1">
      <c r="A17" s="84"/>
      <c r="B17" s="85"/>
      <c r="C17" s="84">
        <f t="shared" si="3"/>
        <v>112</v>
      </c>
      <c r="D17" s="167" t="s">
        <v>878</v>
      </c>
      <c r="E17" s="167">
        <v>30</v>
      </c>
      <c r="F17" s="167" t="str">
        <f>VLOOKUP(E17,'Bo phan'!$B$31:$D$39,2,0)</f>
        <v>Đắc Lắc</v>
      </c>
      <c r="G17" s="167" t="str">
        <f>VLOOKUP($E17,'Bo phan'!$B$31:$D$39,3,0)</f>
        <v>DLA</v>
      </c>
      <c r="H17" s="84" t="str">
        <f t="shared" si="4"/>
        <v>11230</v>
      </c>
      <c r="I17" s="85" t="str">
        <f t="shared" si="5"/>
        <v>DLA.Bộ phận Logistic - Quản lý</v>
      </c>
      <c r="J17" s="86"/>
      <c r="K17" s="86">
        <v>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1.75" customHeight="1">
      <c r="A18" s="84"/>
      <c r="B18" s="85"/>
      <c r="C18" s="84">
        <f t="shared" si="3"/>
        <v>112</v>
      </c>
      <c r="D18" s="167" t="s">
        <v>878</v>
      </c>
      <c r="E18" s="167">
        <v>40</v>
      </c>
      <c r="F18" s="167" t="str">
        <f>VLOOKUP(E18,'Bo phan'!$B$31:$D$39,2,0)</f>
        <v>Đà Nẵng</v>
      </c>
      <c r="G18" s="167" t="str">
        <f>VLOOKUP($E18,'Bo phan'!$B$31:$D$39,3,0)</f>
        <v>DNG</v>
      </c>
      <c r="H18" s="84" t="str">
        <f t="shared" si="4"/>
        <v>11240</v>
      </c>
      <c r="I18" s="85" t="str">
        <f t="shared" si="5"/>
        <v>DNG.Bộ phận Logistic - Quản lý</v>
      </c>
      <c r="J18" s="86"/>
      <c r="K18" s="86">
        <v>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1.75" customHeight="1">
      <c r="A19" s="84"/>
      <c r="B19" s="85"/>
      <c r="C19" s="84">
        <f t="shared" si="3"/>
        <v>112</v>
      </c>
      <c r="D19" s="167" t="s">
        <v>878</v>
      </c>
      <c r="E19" s="167">
        <v>50</v>
      </c>
      <c r="F19" s="167" t="str">
        <f>VLOOKUP(E19,'Bo phan'!$B$31:$D$39,2,0)</f>
        <v>Hà Nội</v>
      </c>
      <c r="G19" s="167" t="str">
        <f>VLOOKUP($E19,'Bo phan'!$B$31:$D$39,3,0)</f>
        <v>HNO</v>
      </c>
      <c r="H19" s="84" t="str">
        <f t="shared" si="4"/>
        <v>11250</v>
      </c>
      <c r="I19" s="85" t="str">
        <f t="shared" si="5"/>
        <v>HNO.Bộ phận Logistic - Quản lý</v>
      </c>
      <c r="J19" s="86"/>
      <c r="K19" s="86">
        <v>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1.75" customHeight="1">
      <c r="A20" s="84"/>
      <c r="B20" s="85"/>
      <c r="C20" s="84">
        <f t="shared" si="3"/>
        <v>112</v>
      </c>
      <c r="D20" s="167" t="s">
        <v>878</v>
      </c>
      <c r="E20" s="167">
        <v>60</v>
      </c>
      <c r="F20" s="167" t="str">
        <f>VLOOKUP(E20,'Bo phan'!$B$31:$D$39,2,0)</f>
        <v>Cần Thơ</v>
      </c>
      <c r="G20" s="167" t="str">
        <f>VLOOKUP($E20,'Bo phan'!$B$31:$D$39,3,0)</f>
        <v>CTH</v>
      </c>
      <c r="H20" s="84" t="str">
        <f t="shared" si="4"/>
        <v>11260</v>
      </c>
      <c r="I20" s="85" t="str">
        <f t="shared" si="5"/>
        <v>CTH.Bộ phận Logistic - Quản lý</v>
      </c>
      <c r="J20" s="86"/>
      <c r="K20" s="86">
        <v>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1.75" customHeight="1">
      <c r="A21" s="81"/>
      <c r="B21" s="82"/>
      <c r="C21" s="241">
        <v>113</v>
      </c>
      <c r="D21" s="251" t="s">
        <v>879</v>
      </c>
      <c r="E21" s="81"/>
      <c r="F21" s="82"/>
      <c r="G21" s="82"/>
      <c r="H21" s="81" t="str">
        <f>C21&amp;"00"</f>
        <v>11300</v>
      </c>
      <c r="I21" s="82" t="str">
        <f>D21</f>
        <v>Bộ phận Logistic - Kho</v>
      </c>
      <c r="J21" s="83" t="s">
        <v>30</v>
      </c>
      <c r="K21" s="83">
        <v>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1.75" customHeight="1">
      <c r="A22" s="84"/>
      <c r="B22" s="85"/>
      <c r="C22" s="84">
        <f t="shared" ref="C22:C27" si="6">$C$21</f>
        <v>113</v>
      </c>
      <c r="D22" s="167" t="s">
        <v>879</v>
      </c>
      <c r="E22" s="167">
        <v>10</v>
      </c>
      <c r="F22" s="167" t="str">
        <f>VLOOKUP($E22,'Bo phan'!$B$31:$D$39,2,0)</f>
        <v>Hồ Chí Minh</v>
      </c>
      <c r="G22" s="167" t="str">
        <f>VLOOKUP($E22,'Bo phan'!$B$31:$D$39,3,0)</f>
        <v>HCM</v>
      </c>
      <c r="H22" s="84" t="str">
        <f>C22&amp;E22</f>
        <v>11310</v>
      </c>
      <c r="I22" s="85" t="str">
        <f>G22&amp;"."&amp;D22</f>
        <v>HCM.Bộ phận Logistic - Kho</v>
      </c>
      <c r="J22" s="86"/>
      <c r="K22" s="86">
        <v>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1.75" customHeight="1">
      <c r="A23" s="84"/>
      <c r="B23" s="85"/>
      <c r="C23" s="84">
        <f t="shared" si="6"/>
        <v>113</v>
      </c>
      <c r="D23" s="167" t="s">
        <v>879</v>
      </c>
      <c r="E23" s="167">
        <v>20</v>
      </c>
      <c r="F23" s="167" t="str">
        <f>VLOOKUP(E23,'Bo phan'!$B$31:$D$39,2,0)</f>
        <v>Nha Trang</v>
      </c>
      <c r="G23" s="167" t="str">
        <f>VLOOKUP($E23,'Bo phan'!$B$31:$D$39,3,0)</f>
        <v>NTR</v>
      </c>
      <c r="H23" s="84" t="str">
        <f t="shared" ref="H23:H27" si="7">C23&amp;E23</f>
        <v>11320</v>
      </c>
      <c r="I23" s="85" t="str">
        <f t="shared" ref="I23:I27" si="8">G23&amp;"."&amp;D23</f>
        <v>NTR.Bộ phận Logistic - Kho</v>
      </c>
      <c r="J23" s="86"/>
      <c r="K23" s="86">
        <v>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1.75" customHeight="1">
      <c r="A24" s="84"/>
      <c r="B24" s="85"/>
      <c r="C24" s="84">
        <f t="shared" si="6"/>
        <v>113</v>
      </c>
      <c r="D24" s="167" t="s">
        <v>879</v>
      </c>
      <c r="E24" s="167">
        <v>30</v>
      </c>
      <c r="F24" s="167" t="str">
        <f>VLOOKUP(E24,'Bo phan'!$B$31:$D$39,2,0)</f>
        <v>Đắc Lắc</v>
      </c>
      <c r="G24" s="167" t="str">
        <f>VLOOKUP($E24,'Bo phan'!$B$31:$D$39,3,0)</f>
        <v>DLA</v>
      </c>
      <c r="H24" s="84" t="str">
        <f t="shared" si="7"/>
        <v>11330</v>
      </c>
      <c r="I24" s="85" t="str">
        <f t="shared" si="8"/>
        <v>DLA.Bộ phận Logistic - Kho</v>
      </c>
      <c r="J24" s="86"/>
      <c r="K24" s="86">
        <v>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1.75" customHeight="1">
      <c r="A25" s="84"/>
      <c r="B25" s="85"/>
      <c r="C25" s="84">
        <f t="shared" si="6"/>
        <v>113</v>
      </c>
      <c r="D25" s="167" t="s">
        <v>879</v>
      </c>
      <c r="E25" s="167">
        <v>40</v>
      </c>
      <c r="F25" s="167" t="str">
        <f>VLOOKUP(E25,'Bo phan'!$B$31:$D$39,2,0)</f>
        <v>Đà Nẵng</v>
      </c>
      <c r="G25" s="167" t="str">
        <f>VLOOKUP($E25,'Bo phan'!$B$31:$D$39,3,0)</f>
        <v>DNG</v>
      </c>
      <c r="H25" s="84" t="str">
        <f t="shared" si="7"/>
        <v>11340</v>
      </c>
      <c r="I25" s="85" t="str">
        <f t="shared" si="8"/>
        <v>DNG.Bộ phận Logistic - Kho</v>
      </c>
      <c r="J25" s="86"/>
      <c r="K25" s="86">
        <v>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1.75" customHeight="1">
      <c r="A26" s="84"/>
      <c r="B26" s="85"/>
      <c r="C26" s="84">
        <f t="shared" si="6"/>
        <v>113</v>
      </c>
      <c r="D26" s="167" t="s">
        <v>879</v>
      </c>
      <c r="E26" s="167">
        <v>50</v>
      </c>
      <c r="F26" s="167" t="str">
        <f>VLOOKUP(E26,'Bo phan'!$B$31:$D$39,2,0)</f>
        <v>Hà Nội</v>
      </c>
      <c r="G26" s="167" t="str">
        <f>VLOOKUP($E26,'Bo phan'!$B$31:$D$39,3,0)</f>
        <v>HNO</v>
      </c>
      <c r="H26" s="84" t="str">
        <f t="shared" si="7"/>
        <v>11350</v>
      </c>
      <c r="I26" s="85" t="str">
        <f t="shared" si="8"/>
        <v>HNO.Bộ phận Logistic - Kho</v>
      </c>
      <c r="J26" s="86"/>
      <c r="K26" s="86">
        <v>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1.75" customHeight="1">
      <c r="A27" s="84"/>
      <c r="B27" s="85"/>
      <c r="C27" s="84">
        <f t="shared" si="6"/>
        <v>113</v>
      </c>
      <c r="D27" s="167" t="s">
        <v>879</v>
      </c>
      <c r="E27" s="167">
        <v>60</v>
      </c>
      <c r="F27" s="167" t="str">
        <f>VLOOKUP(E27,'Bo phan'!$B$31:$D$39,2,0)</f>
        <v>Cần Thơ</v>
      </c>
      <c r="G27" s="167" t="str">
        <f>VLOOKUP($E27,'Bo phan'!$B$31:$D$39,3,0)</f>
        <v>CTH</v>
      </c>
      <c r="H27" s="84" t="str">
        <f t="shared" si="7"/>
        <v>11360</v>
      </c>
      <c r="I27" s="85" t="str">
        <f t="shared" si="8"/>
        <v>CTH.Bộ phận Logistic - Kho</v>
      </c>
      <c r="J27" s="86"/>
      <c r="K27" s="86">
        <v>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1.75" customHeight="1">
      <c r="A28" s="81"/>
      <c r="B28" s="82"/>
      <c r="C28" s="241">
        <v>114</v>
      </c>
      <c r="D28" s="251" t="s">
        <v>880</v>
      </c>
      <c r="E28" s="81"/>
      <c r="F28" s="82"/>
      <c r="G28" s="82"/>
      <c r="H28" s="81" t="str">
        <f>C28&amp;"00"</f>
        <v>11400</v>
      </c>
      <c r="I28" s="82" t="str">
        <f>D28</f>
        <v>Bộ phận Logistic - Giao nhận</v>
      </c>
      <c r="J28" s="83" t="s">
        <v>30</v>
      </c>
      <c r="K28" s="83">
        <v>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1.75" customHeight="1">
      <c r="A29" s="84"/>
      <c r="B29" s="85"/>
      <c r="C29" s="84">
        <f t="shared" ref="C29:C34" si="9">$C$28</f>
        <v>114</v>
      </c>
      <c r="D29" s="167" t="s">
        <v>880</v>
      </c>
      <c r="E29" s="167">
        <v>10</v>
      </c>
      <c r="F29" s="167" t="str">
        <f>VLOOKUP($E29,'Bo phan'!$B$31:$D$39,2,0)</f>
        <v>Hồ Chí Minh</v>
      </c>
      <c r="G29" s="167" t="str">
        <f>VLOOKUP($E29,'Bo phan'!$B$31:$D$39,3,0)</f>
        <v>HCM</v>
      </c>
      <c r="H29" s="84" t="str">
        <f>C29&amp;E29</f>
        <v>11410</v>
      </c>
      <c r="I29" s="85" t="str">
        <f>G29&amp;"."&amp;D29</f>
        <v>HCM.Bộ phận Logistic - Giao nhận</v>
      </c>
      <c r="J29" s="86"/>
      <c r="K29" s="86">
        <v>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1.75" customHeight="1">
      <c r="A30" s="84"/>
      <c r="B30" s="85"/>
      <c r="C30" s="84">
        <f t="shared" si="9"/>
        <v>114</v>
      </c>
      <c r="D30" s="167" t="s">
        <v>880</v>
      </c>
      <c r="E30" s="167">
        <v>20</v>
      </c>
      <c r="F30" s="167" t="str">
        <f>VLOOKUP(E30,'Bo phan'!$B$31:$D$39,2,0)</f>
        <v>Nha Trang</v>
      </c>
      <c r="G30" s="167" t="str">
        <f>VLOOKUP($E30,'Bo phan'!$B$31:$D$39,3,0)</f>
        <v>NTR</v>
      </c>
      <c r="H30" s="84" t="str">
        <f t="shared" ref="H30:H34" si="10">C30&amp;E30</f>
        <v>11420</v>
      </c>
      <c r="I30" s="85" t="str">
        <f t="shared" ref="I30:I34" si="11">G30&amp;"."&amp;D30</f>
        <v>NTR.Bộ phận Logistic - Giao nhận</v>
      </c>
      <c r="J30" s="86"/>
      <c r="K30" s="86">
        <v>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1.75" customHeight="1">
      <c r="A31" s="84"/>
      <c r="B31" s="85"/>
      <c r="C31" s="84">
        <f t="shared" si="9"/>
        <v>114</v>
      </c>
      <c r="D31" s="167" t="s">
        <v>880</v>
      </c>
      <c r="E31" s="167">
        <v>30</v>
      </c>
      <c r="F31" s="167" t="str">
        <f>VLOOKUP(E31,'Bo phan'!$B$31:$D$39,2,0)</f>
        <v>Đắc Lắc</v>
      </c>
      <c r="G31" s="167" t="str">
        <f>VLOOKUP($E31,'Bo phan'!$B$31:$D$39,3,0)</f>
        <v>DLA</v>
      </c>
      <c r="H31" s="84" t="str">
        <f t="shared" si="10"/>
        <v>11430</v>
      </c>
      <c r="I31" s="85" t="str">
        <f t="shared" si="11"/>
        <v>DLA.Bộ phận Logistic - Giao nhận</v>
      </c>
      <c r="J31" s="86"/>
      <c r="K31" s="86">
        <v>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1.75" customHeight="1">
      <c r="A32" s="84"/>
      <c r="B32" s="85"/>
      <c r="C32" s="84">
        <f t="shared" si="9"/>
        <v>114</v>
      </c>
      <c r="D32" s="167" t="s">
        <v>880</v>
      </c>
      <c r="E32" s="167">
        <v>40</v>
      </c>
      <c r="F32" s="167" t="str">
        <f>VLOOKUP(E32,'Bo phan'!$B$31:$D$39,2,0)</f>
        <v>Đà Nẵng</v>
      </c>
      <c r="G32" s="167" t="str">
        <f>VLOOKUP($E32,'Bo phan'!$B$31:$D$39,3,0)</f>
        <v>DNG</v>
      </c>
      <c r="H32" s="84" t="str">
        <f t="shared" si="10"/>
        <v>11440</v>
      </c>
      <c r="I32" s="85" t="str">
        <f t="shared" si="11"/>
        <v>DNG.Bộ phận Logistic - Giao nhận</v>
      </c>
      <c r="J32" s="86"/>
      <c r="K32" s="86">
        <v>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21.75" customHeight="1">
      <c r="A33" s="84"/>
      <c r="B33" s="85"/>
      <c r="C33" s="84">
        <f t="shared" si="9"/>
        <v>114</v>
      </c>
      <c r="D33" s="167" t="s">
        <v>880</v>
      </c>
      <c r="E33" s="167">
        <v>50</v>
      </c>
      <c r="F33" s="167" t="str">
        <f>VLOOKUP(E33,'Bo phan'!$B$31:$D$39,2,0)</f>
        <v>Hà Nội</v>
      </c>
      <c r="G33" s="167" t="str">
        <f>VLOOKUP($E33,'Bo phan'!$B$31:$D$39,3,0)</f>
        <v>HNO</v>
      </c>
      <c r="H33" s="84" t="str">
        <f t="shared" si="10"/>
        <v>11450</v>
      </c>
      <c r="I33" s="85" t="str">
        <f t="shared" si="11"/>
        <v>HNO.Bộ phận Logistic - Giao nhận</v>
      </c>
      <c r="J33" s="86"/>
      <c r="K33" s="86">
        <v>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21.75" customHeight="1">
      <c r="A34" s="84"/>
      <c r="B34" s="85"/>
      <c r="C34" s="84">
        <f t="shared" si="9"/>
        <v>114</v>
      </c>
      <c r="D34" s="167" t="s">
        <v>880</v>
      </c>
      <c r="E34" s="167">
        <v>60</v>
      </c>
      <c r="F34" s="167" t="str">
        <f>VLOOKUP(E34,'Bo phan'!$B$31:$D$39,2,0)</f>
        <v>Cần Thơ</v>
      </c>
      <c r="G34" s="167" t="str">
        <f>VLOOKUP($E34,'Bo phan'!$B$31:$D$39,3,0)</f>
        <v>CTH</v>
      </c>
      <c r="H34" s="84" t="str">
        <f t="shared" si="10"/>
        <v>11460</v>
      </c>
      <c r="I34" s="85" t="str">
        <f t="shared" si="11"/>
        <v>CTH.Bộ phận Logistic - Giao nhận</v>
      </c>
      <c r="J34" s="86"/>
      <c r="K34" s="86">
        <v>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1.75" customHeight="1">
      <c r="A35" s="81"/>
      <c r="B35" s="82"/>
      <c r="C35" s="241">
        <v>115</v>
      </c>
      <c r="D35" s="251" t="s">
        <v>882</v>
      </c>
      <c r="E35" s="81"/>
      <c r="F35" s="82"/>
      <c r="G35" s="82"/>
      <c r="H35" s="81" t="str">
        <f>C35&amp;"00"</f>
        <v>11500</v>
      </c>
      <c r="I35" s="82" t="str">
        <f>D35</f>
        <v>Bộ phận Marketing</v>
      </c>
      <c r="J35" s="83" t="s">
        <v>30</v>
      </c>
      <c r="K35" s="83"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21.75" customHeight="1">
      <c r="A36" s="84"/>
      <c r="B36" s="85"/>
      <c r="C36" s="84">
        <f t="shared" ref="C36:C41" si="12">$C$35</f>
        <v>115</v>
      </c>
      <c r="D36" s="167" t="s">
        <v>882</v>
      </c>
      <c r="E36" s="167">
        <v>10</v>
      </c>
      <c r="F36" s="167" t="str">
        <f>VLOOKUP($E36,'Bo phan'!$B$31:$D$39,2,0)</f>
        <v>Hồ Chí Minh</v>
      </c>
      <c r="G36" s="167" t="str">
        <f>VLOOKUP($E36,'Bo phan'!$B$31:$D$39,3,0)</f>
        <v>HCM</v>
      </c>
      <c r="H36" s="84" t="str">
        <f>C36&amp;E36</f>
        <v>11510</v>
      </c>
      <c r="I36" s="85" t="str">
        <f>G36&amp;"."&amp;D36</f>
        <v>HCM.Bộ phận Marketing</v>
      </c>
      <c r="J36" s="86"/>
      <c r="K36" s="86">
        <v>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21.75" customHeight="1">
      <c r="A37" s="84"/>
      <c r="B37" s="85"/>
      <c r="C37" s="84">
        <f t="shared" si="12"/>
        <v>115</v>
      </c>
      <c r="D37" s="167" t="s">
        <v>882</v>
      </c>
      <c r="E37" s="167">
        <v>20</v>
      </c>
      <c r="F37" s="167" t="str">
        <f>VLOOKUP(E37,'Bo phan'!$B$31:$D$39,2,0)</f>
        <v>Nha Trang</v>
      </c>
      <c r="G37" s="167" t="str">
        <f>VLOOKUP($E37,'Bo phan'!$B$31:$D$39,3,0)</f>
        <v>NTR</v>
      </c>
      <c r="H37" s="84" t="str">
        <f t="shared" ref="H37:H41" si="13">C37&amp;E37</f>
        <v>11520</v>
      </c>
      <c r="I37" s="85" t="str">
        <f t="shared" ref="I37:I41" si="14">G37&amp;"."&amp;D37</f>
        <v>NTR.Bộ phận Marketing</v>
      </c>
      <c r="J37" s="86"/>
      <c r="K37" s="86">
        <v>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21.75" customHeight="1">
      <c r="A38" s="84"/>
      <c r="B38" s="85"/>
      <c r="C38" s="84">
        <f t="shared" si="12"/>
        <v>115</v>
      </c>
      <c r="D38" s="167" t="s">
        <v>882</v>
      </c>
      <c r="E38" s="167">
        <v>30</v>
      </c>
      <c r="F38" s="167" t="str">
        <f>VLOOKUP(E38,'Bo phan'!$B$31:$D$39,2,0)</f>
        <v>Đắc Lắc</v>
      </c>
      <c r="G38" s="167" t="str">
        <f>VLOOKUP($E38,'Bo phan'!$B$31:$D$39,3,0)</f>
        <v>DLA</v>
      </c>
      <c r="H38" s="84" t="str">
        <f t="shared" si="13"/>
        <v>11530</v>
      </c>
      <c r="I38" s="85" t="str">
        <f t="shared" si="14"/>
        <v>DLA.Bộ phận Marketing</v>
      </c>
      <c r="J38" s="86"/>
      <c r="K38" s="86">
        <v>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21.75" customHeight="1">
      <c r="A39" s="84"/>
      <c r="B39" s="85"/>
      <c r="C39" s="84">
        <f t="shared" si="12"/>
        <v>115</v>
      </c>
      <c r="D39" s="167" t="s">
        <v>882</v>
      </c>
      <c r="E39" s="167">
        <v>40</v>
      </c>
      <c r="F39" s="167" t="str">
        <f>VLOOKUP(E39,'Bo phan'!$B$31:$D$39,2,0)</f>
        <v>Đà Nẵng</v>
      </c>
      <c r="G39" s="167" t="str">
        <f>VLOOKUP($E39,'Bo phan'!$B$31:$D$39,3,0)</f>
        <v>DNG</v>
      </c>
      <c r="H39" s="84" t="str">
        <f t="shared" si="13"/>
        <v>11540</v>
      </c>
      <c r="I39" s="85" t="str">
        <f t="shared" si="14"/>
        <v>DNG.Bộ phận Marketing</v>
      </c>
      <c r="J39" s="86"/>
      <c r="K39" s="86">
        <v>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21.75" customHeight="1">
      <c r="A40" s="84"/>
      <c r="B40" s="85"/>
      <c r="C40" s="84">
        <f t="shared" si="12"/>
        <v>115</v>
      </c>
      <c r="D40" s="167" t="s">
        <v>882</v>
      </c>
      <c r="E40" s="167">
        <v>50</v>
      </c>
      <c r="F40" s="167" t="str">
        <f>VLOOKUP(E40,'Bo phan'!$B$31:$D$39,2,0)</f>
        <v>Hà Nội</v>
      </c>
      <c r="G40" s="167" t="str">
        <f>VLOOKUP($E40,'Bo phan'!$B$31:$D$39,3,0)</f>
        <v>HNO</v>
      </c>
      <c r="H40" s="84" t="str">
        <f t="shared" si="13"/>
        <v>11550</v>
      </c>
      <c r="I40" s="85" t="str">
        <f t="shared" si="14"/>
        <v>HNO.Bộ phận Marketing</v>
      </c>
      <c r="J40" s="86"/>
      <c r="K40" s="86">
        <v>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21.75" customHeight="1">
      <c r="A41" s="84"/>
      <c r="B41" s="85"/>
      <c r="C41" s="84">
        <f t="shared" si="12"/>
        <v>115</v>
      </c>
      <c r="D41" s="167" t="s">
        <v>882</v>
      </c>
      <c r="E41" s="167">
        <v>60</v>
      </c>
      <c r="F41" s="167" t="str">
        <f>VLOOKUP(E41,'Bo phan'!$B$31:$D$39,2,0)</f>
        <v>Cần Thơ</v>
      </c>
      <c r="G41" s="167" t="str">
        <f>VLOOKUP($E41,'Bo phan'!$B$31:$D$39,3,0)</f>
        <v>CTH</v>
      </c>
      <c r="H41" s="84" t="str">
        <f t="shared" si="13"/>
        <v>11560</v>
      </c>
      <c r="I41" s="85" t="str">
        <f t="shared" si="14"/>
        <v>CTH.Bộ phận Marketing</v>
      </c>
      <c r="J41" s="86"/>
      <c r="K41" s="86">
        <v>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21.75" customHeight="1">
      <c r="A42" s="81"/>
      <c r="B42" s="82"/>
      <c r="C42" s="241">
        <v>116</v>
      </c>
      <c r="D42" s="251" t="s">
        <v>883</v>
      </c>
      <c r="E42" s="81"/>
      <c r="F42" s="82"/>
      <c r="G42" s="82"/>
      <c r="H42" s="81" t="str">
        <f>C42&amp;"00"</f>
        <v>11600</v>
      </c>
      <c r="I42" s="82" t="str">
        <f>D42</f>
        <v>Bộ phận Trade Marketing</v>
      </c>
      <c r="J42" s="83" t="s">
        <v>30</v>
      </c>
      <c r="K42" s="83">
        <v>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21.75" customHeight="1">
      <c r="A43" s="84"/>
      <c r="B43" s="85"/>
      <c r="C43" s="84">
        <f t="shared" ref="C43:C48" si="15">$C$42</f>
        <v>116</v>
      </c>
      <c r="D43" s="167" t="s">
        <v>883</v>
      </c>
      <c r="E43" s="167">
        <v>10</v>
      </c>
      <c r="F43" s="167" t="str">
        <f>VLOOKUP($E43,'Bo phan'!$B$31:$D$39,2,0)</f>
        <v>Hồ Chí Minh</v>
      </c>
      <c r="G43" s="167" t="str">
        <f>VLOOKUP($E43,'Bo phan'!$B$31:$D$39,3,0)</f>
        <v>HCM</v>
      </c>
      <c r="H43" s="84" t="str">
        <f>C43&amp;E43</f>
        <v>11610</v>
      </c>
      <c r="I43" s="85" t="str">
        <f>G43&amp;"."&amp;D43</f>
        <v>HCM.Bộ phận Trade Marketing</v>
      </c>
      <c r="J43" s="86"/>
      <c r="K43" s="86">
        <v>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1.75" customHeight="1">
      <c r="A44" s="84"/>
      <c r="B44" s="85"/>
      <c r="C44" s="84">
        <f t="shared" si="15"/>
        <v>116</v>
      </c>
      <c r="D44" s="167" t="s">
        <v>883</v>
      </c>
      <c r="E44" s="167">
        <v>20</v>
      </c>
      <c r="F44" s="167" t="str">
        <f>VLOOKUP(E44,'Bo phan'!$B$31:$D$39,2,0)</f>
        <v>Nha Trang</v>
      </c>
      <c r="G44" s="167" t="str">
        <f>VLOOKUP($E44,'Bo phan'!$B$31:$D$39,3,0)</f>
        <v>NTR</v>
      </c>
      <c r="H44" s="84" t="str">
        <f t="shared" ref="H44:H48" si="16">C44&amp;E44</f>
        <v>11620</v>
      </c>
      <c r="I44" s="85" t="str">
        <f t="shared" ref="I44:I48" si="17">G44&amp;"."&amp;D44</f>
        <v>NTR.Bộ phận Trade Marketing</v>
      </c>
      <c r="J44" s="86"/>
      <c r="K44" s="86">
        <v>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21.75" customHeight="1">
      <c r="A45" s="84"/>
      <c r="B45" s="85"/>
      <c r="C45" s="84">
        <f t="shared" si="15"/>
        <v>116</v>
      </c>
      <c r="D45" s="167" t="s">
        <v>883</v>
      </c>
      <c r="E45" s="167">
        <v>30</v>
      </c>
      <c r="F45" s="167" t="str">
        <f>VLOOKUP(E45,'Bo phan'!$B$31:$D$39,2,0)</f>
        <v>Đắc Lắc</v>
      </c>
      <c r="G45" s="167" t="str">
        <f>VLOOKUP($E45,'Bo phan'!$B$31:$D$39,3,0)</f>
        <v>DLA</v>
      </c>
      <c r="H45" s="84" t="str">
        <f t="shared" si="16"/>
        <v>11630</v>
      </c>
      <c r="I45" s="85" t="str">
        <f t="shared" si="17"/>
        <v>DLA.Bộ phận Trade Marketing</v>
      </c>
      <c r="J45" s="86"/>
      <c r="K45" s="86">
        <v>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21.75" customHeight="1">
      <c r="A46" s="84"/>
      <c r="B46" s="85"/>
      <c r="C46" s="84">
        <f t="shared" si="15"/>
        <v>116</v>
      </c>
      <c r="D46" s="167" t="s">
        <v>883</v>
      </c>
      <c r="E46" s="167">
        <v>40</v>
      </c>
      <c r="F46" s="167" t="str">
        <f>VLOOKUP(E46,'Bo phan'!$B$31:$D$39,2,0)</f>
        <v>Đà Nẵng</v>
      </c>
      <c r="G46" s="167" t="str">
        <f>VLOOKUP($E46,'Bo phan'!$B$31:$D$39,3,0)</f>
        <v>DNG</v>
      </c>
      <c r="H46" s="84" t="str">
        <f t="shared" si="16"/>
        <v>11640</v>
      </c>
      <c r="I46" s="85" t="str">
        <f t="shared" si="17"/>
        <v>DNG.Bộ phận Trade Marketing</v>
      </c>
      <c r="J46" s="86"/>
      <c r="K46" s="86">
        <v>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21.75" customHeight="1">
      <c r="A47" s="84"/>
      <c r="B47" s="85"/>
      <c r="C47" s="84">
        <f t="shared" si="15"/>
        <v>116</v>
      </c>
      <c r="D47" s="167" t="s">
        <v>883</v>
      </c>
      <c r="E47" s="167">
        <v>50</v>
      </c>
      <c r="F47" s="167" t="str">
        <f>VLOOKUP(E47,'Bo phan'!$B$31:$D$39,2,0)</f>
        <v>Hà Nội</v>
      </c>
      <c r="G47" s="167" t="str">
        <f>VLOOKUP($E47,'Bo phan'!$B$31:$D$39,3,0)</f>
        <v>HNO</v>
      </c>
      <c r="H47" s="84" t="str">
        <f t="shared" si="16"/>
        <v>11650</v>
      </c>
      <c r="I47" s="85" t="str">
        <f t="shared" si="17"/>
        <v>HNO.Bộ phận Trade Marketing</v>
      </c>
      <c r="J47" s="86"/>
      <c r="K47" s="86">
        <v>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21.75" customHeight="1">
      <c r="A48" s="84"/>
      <c r="B48" s="85"/>
      <c r="C48" s="84">
        <f t="shared" si="15"/>
        <v>116</v>
      </c>
      <c r="D48" s="167" t="s">
        <v>883</v>
      </c>
      <c r="E48" s="167">
        <v>60</v>
      </c>
      <c r="F48" s="167" t="str">
        <f>VLOOKUP(E48,'Bo phan'!$B$31:$D$39,2,0)</f>
        <v>Cần Thơ</v>
      </c>
      <c r="G48" s="167" t="str">
        <f>VLOOKUP($E48,'Bo phan'!$B$31:$D$39,3,0)</f>
        <v>CTH</v>
      </c>
      <c r="H48" s="84" t="str">
        <f t="shared" si="16"/>
        <v>11660</v>
      </c>
      <c r="I48" s="85" t="str">
        <f t="shared" si="17"/>
        <v>CTH.Bộ phận Trade Marketing</v>
      </c>
      <c r="J48" s="86"/>
      <c r="K48" s="86">
        <v>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21.75" customHeight="1">
      <c r="A49" s="252">
        <v>2</v>
      </c>
      <c r="B49" s="253" t="s">
        <v>919</v>
      </c>
      <c r="C49" s="254"/>
      <c r="D49" s="255"/>
      <c r="E49" s="252"/>
      <c r="F49" s="253"/>
      <c r="G49" s="253"/>
      <c r="H49" s="252">
        <v>20000</v>
      </c>
      <c r="I49" s="253" t="s">
        <v>921</v>
      </c>
      <c r="J49" s="256"/>
      <c r="K49" s="83">
        <v>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21.75" customHeight="1">
      <c r="A50" s="81"/>
      <c r="B50" s="82"/>
      <c r="C50" s="241">
        <v>211</v>
      </c>
      <c r="D50" s="251" t="s">
        <v>876</v>
      </c>
      <c r="E50" s="81"/>
      <c r="F50" s="82"/>
      <c r="G50" s="82"/>
      <c r="H50" s="81" t="str">
        <f>C50&amp;"00"</f>
        <v>21100</v>
      </c>
      <c r="I50" s="82" t="str">
        <f>D50</f>
        <v>Bộ phận Ban Điều hành</v>
      </c>
      <c r="J50" s="83" t="s">
        <v>30</v>
      </c>
      <c r="K50" s="83">
        <v>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21.75" customHeight="1">
      <c r="A51" s="84"/>
      <c r="B51" s="85"/>
      <c r="C51" s="84">
        <f>$C$50</f>
        <v>211</v>
      </c>
      <c r="D51" s="167" t="s">
        <v>876</v>
      </c>
      <c r="E51" s="167">
        <v>10</v>
      </c>
      <c r="F51" s="167" t="str">
        <f>VLOOKUP($E51,'Bo phan'!$B$31:$D$39,2,0)</f>
        <v>Hồ Chí Minh</v>
      </c>
      <c r="G51" s="167" t="str">
        <f>VLOOKUP($E51,'Bo phan'!$B$31:$D$39,3,0)</f>
        <v>HCM</v>
      </c>
      <c r="H51" s="84" t="str">
        <f>C51&amp;E51</f>
        <v>21110</v>
      </c>
      <c r="I51" s="85" t="str">
        <f>G51&amp;"."&amp;D51</f>
        <v>HCM.Bộ phận Ban Điều hành</v>
      </c>
      <c r="J51" s="86"/>
      <c r="K51" s="86">
        <v>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21.75" customHeight="1">
      <c r="A52" s="84"/>
      <c r="B52" s="85"/>
      <c r="C52" s="84">
        <f t="shared" ref="C52:C56" si="18">$C$50</f>
        <v>211</v>
      </c>
      <c r="D52" s="167" t="s">
        <v>876</v>
      </c>
      <c r="E52" s="167">
        <v>20</v>
      </c>
      <c r="F52" s="167" t="str">
        <f>VLOOKUP(E52,'Bo phan'!$B$31:$D$39,2,0)</f>
        <v>Nha Trang</v>
      </c>
      <c r="G52" s="167" t="str">
        <f>VLOOKUP($E52,'Bo phan'!$B$31:$D$39,3,0)</f>
        <v>NTR</v>
      </c>
      <c r="H52" s="84" t="str">
        <f t="shared" ref="H52:H56" si="19">C52&amp;E52</f>
        <v>21120</v>
      </c>
      <c r="I52" s="85" t="str">
        <f t="shared" ref="I52:I56" si="20">G52&amp;"."&amp;D52</f>
        <v>NTR.Bộ phận Ban Điều hành</v>
      </c>
      <c r="J52" s="86"/>
      <c r="K52" s="86">
        <v>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21.75" customHeight="1">
      <c r="A53" s="84"/>
      <c r="B53" s="85"/>
      <c r="C53" s="84">
        <f t="shared" si="18"/>
        <v>211</v>
      </c>
      <c r="D53" s="167" t="s">
        <v>876</v>
      </c>
      <c r="E53" s="167">
        <v>30</v>
      </c>
      <c r="F53" s="167" t="str">
        <f>VLOOKUP(E53,'Bo phan'!$B$31:$D$39,2,0)</f>
        <v>Đắc Lắc</v>
      </c>
      <c r="G53" s="167" t="str">
        <f>VLOOKUP($E53,'Bo phan'!$B$31:$D$39,3,0)</f>
        <v>DLA</v>
      </c>
      <c r="H53" s="84" t="str">
        <f t="shared" si="19"/>
        <v>21130</v>
      </c>
      <c r="I53" s="85" t="str">
        <f t="shared" si="20"/>
        <v>DLA.Bộ phận Ban Điều hành</v>
      </c>
      <c r="J53" s="86"/>
      <c r="K53" s="86">
        <v>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21.75" customHeight="1">
      <c r="A54" s="84"/>
      <c r="B54" s="85"/>
      <c r="C54" s="84">
        <f t="shared" si="18"/>
        <v>211</v>
      </c>
      <c r="D54" s="167" t="s">
        <v>876</v>
      </c>
      <c r="E54" s="167">
        <v>40</v>
      </c>
      <c r="F54" s="167" t="str">
        <f>VLOOKUP(E54,'Bo phan'!$B$31:$D$39,2,0)</f>
        <v>Đà Nẵng</v>
      </c>
      <c r="G54" s="167" t="str">
        <f>VLOOKUP($E54,'Bo phan'!$B$31:$D$39,3,0)</f>
        <v>DNG</v>
      </c>
      <c r="H54" s="84" t="str">
        <f t="shared" si="19"/>
        <v>21140</v>
      </c>
      <c r="I54" s="85" t="str">
        <f t="shared" si="20"/>
        <v>DNG.Bộ phận Ban Điều hành</v>
      </c>
      <c r="J54" s="86"/>
      <c r="K54" s="86">
        <v>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21.75" customHeight="1">
      <c r="A55" s="84"/>
      <c r="B55" s="85"/>
      <c r="C55" s="84">
        <f t="shared" si="18"/>
        <v>211</v>
      </c>
      <c r="D55" s="167" t="s">
        <v>876</v>
      </c>
      <c r="E55" s="167">
        <v>50</v>
      </c>
      <c r="F55" s="167" t="str">
        <f>VLOOKUP(E55,'Bo phan'!$B$31:$D$39,2,0)</f>
        <v>Hà Nội</v>
      </c>
      <c r="G55" s="167" t="str">
        <f>VLOOKUP($E55,'Bo phan'!$B$31:$D$39,3,0)</f>
        <v>HNO</v>
      </c>
      <c r="H55" s="84" t="str">
        <f t="shared" si="19"/>
        <v>21150</v>
      </c>
      <c r="I55" s="85" t="str">
        <f t="shared" si="20"/>
        <v>HNO.Bộ phận Ban Điều hành</v>
      </c>
      <c r="J55" s="86"/>
      <c r="K55" s="86">
        <v>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21.75" customHeight="1">
      <c r="A56" s="84"/>
      <c r="B56" s="85"/>
      <c r="C56" s="84">
        <f t="shared" si="18"/>
        <v>211</v>
      </c>
      <c r="D56" s="167" t="s">
        <v>876</v>
      </c>
      <c r="E56" s="167">
        <v>60</v>
      </c>
      <c r="F56" s="167" t="str">
        <f>VLOOKUP(E56,'Bo phan'!$B$31:$D$39,2,0)</f>
        <v>Cần Thơ</v>
      </c>
      <c r="G56" s="167" t="str">
        <f>VLOOKUP($E56,'Bo phan'!$B$31:$D$39,3,0)</f>
        <v>CTH</v>
      </c>
      <c r="H56" s="84" t="str">
        <f t="shared" si="19"/>
        <v>21160</v>
      </c>
      <c r="I56" s="85" t="str">
        <f t="shared" si="20"/>
        <v>CTH.Bộ phận Ban Điều hành</v>
      </c>
      <c r="J56" s="86"/>
      <c r="K56" s="86">
        <v>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21.75" customHeight="1">
      <c r="A57" s="81"/>
      <c r="B57" s="82"/>
      <c r="C57" s="241">
        <v>212</v>
      </c>
      <c r="D57" s="251" t="s">
        <v>884</v>
      </c>
      <c r="E57" s="81"/>
      <c r="F57" s="82"/>
      <c r="G57" s="82"/>
      <c r="H57" s="81" t="str">
        <f>C57&amp;"00"</f>
        <v>21200</v>
      </c>
      <c r="I57" s="82" t="str">
        <f>D57</f>
        <v>Bộ phận Tài chính - Kế toán</v>
      </c>
      <c r="J57" s="83" t="s">
        <v>30</v>
      </c>
      <c r="K57" s="83">
        <v>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21.75" customHeight="1">
      <c r="A58" s="84"/>
      <c r="B58" s="85"/>
      <c r="C58" s="84">
        <f>$C$57</f>
        <v>212</v>
      </c>
      <c r="D58" s="167" t="s">
        <v>884</v>
      </c>
      <c r="E58" s="167">
        <v>10</v>
      </c>
      <c r="F58" s="167" t="str">
        <f>VLOOKUP($E58,'Bo phan'!$B$31:$D$39,2,0)</f>
        <v>Hồ Chí Minh</v>
      </c>
      <c r="G58" s="167" t="str">
        <f>VLOOKUP($E58,'Bo phan'!$B$31:$D$39,3,0)</f>
        <v>HCM</v>
      </c>
      <c r="H58" s="84" t="str">
        <f>C58&amp;E58</f>
        <v>21210</v>
      </c>
      <c r="I58" s="85" t="str">
        <f>G58&amp;"."&amp;D58</f>
        <v>HCM.Bộ phận Tài chính - Kế toán</v>
      </c>
      <c r="J58" s="86"/>
      <c r="K58" s="86">
        <v>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21.75" customHeight="1">
      <c r="A59" s="84"/>
      <c r="B59" s="85"/>
      <c r="C59" s="84">
        <f t="shared" ref="C59:C63" si="21">$C$57</f>
        <v>212</v>
      </c>
      <c r="D59" s="167" t="s">
        <v>884</v>
      </c>
      <c r="E59" s="167">
        <v>20</v>
      </c>
      <c r="F59" s="167" t="str">
        <f>VLOOKUP(E59,'Bo phan'!$B$31:$D$39,2,0)</f>
        <v>Nha Trang</v>
      </c>
      <c r="G59" s="167" t="str">
        <f>VLOOKUP($E59,'Bo phan'!$B$31:$D$39,3,0)</f>
        <v>NTR</v>
      </c>
      <c r="H59" s="84" t="str">
        <f t="shared" ref="H59:H63" si="22">C59&amp;E59</f>
        <v>21220</v>
      </c>
      <c r="I59" s="85" t="str">
        <f t="shared" ref="I59:I63" si="23">G59&amp;"."&amp;D59</f>
        <v>NTR.Bộ phận Tài chính - Kế toán</v>
      </c>
      <c r="J59" s="86"/>
      <c r="K59" s="86">
        <v>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21.75" customHeight="1">
      <c r="A60" s="84"/>
      <c r="B60" s="85"/>
      <c r="C60" s="84">
        <f t="shared" si="21"/>
        <v>212</v>
      </c>
      <c r="D60" s="167" t="s">
        <v>884</v>
      </c>
      <c r="E60" s="167">
        <v>30</v>
      </c>
      <c r="F60" s="167" t="str">
        <f>VLOOKUP(E60,'Bo phan'!$B$31:$D$39,2,0)</f>
        <v>Đắc Lắc</v>
      </c>
      <c r="G60" s="167" t="str">
        <f>VLOOKUP($E60,'Bo phan'!$B$31:$D$39,3,0)</f>
        <v>DLA</v>
      </c>
      <c r="H60" s="84" t="str">
        <f t="shared" si="22"/>
        <v>21230</v>
      </c>
      <c r="I60" s="85" t="str">
        <f t="shared" si="23"/>
        <v>DLA.Bộ phận Tài chính - Kế toán</v>
      </c>
      <c r="J60" s="86"/>
      <c r="K60" s="86">
        <v>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21.75" customHeight="1">
      <c r="A61" s="84"/>
      <c r="B61" s="85"/>
      <c r="C61" s="84">
        <f t="shared" si="21"/>
        <v>212</v>
      </c>
      <c r="D61" s="167" t="s">
        <v>884</v>
      </c>
      <c r="E61" s="167">
        <v>40</v>
      </c>
      <c r="F61" s="167" t="str">
        <f>VLOOKUP(E61,'Bo phan'!$B$31:$D$39,2,0)</f>
        <v>Đà Nẵng</v>
      </c>
      <c r="G61" s="167" t="str">
        <f>VLOOKUP($E61,'Bo phan'!$B$31:$D$39,3,0)</f>
        <v>DNG</v>
      </c>
      <c r="H61" s="84" t="str">
        <f t="shared" si="22"/>
        <v>21240</v>
      </c>
      <c r="I61" s="85" t="str">
        <f t="shared" si="23"/>
        <v>DNG.Bộ phận Tài chính - Kế toán</v>
      </c>
      <c r="J61" s="86"/>
      <c r="K61" s="86">
        <v>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21.75" customHeight="1">
      <c r="A62" s="84"/>
      <c r="B62" s="85"/>
      <c r="C62" s="84">
        <f t="shared" si="21"/>
        <v>212</v>
      </c>
      <c r="D62" s="167" t="s">
        <v>884</v>
      </c>
      <c r="E62" s="167">
        <v>50</v>
      </c>
      <c r="F62" s="167" t="str">
        <f>VLOOKUP(E62,'Bo phan'!$B$31:$D$39,2,0)</f>
        <v>Hà Nội</v>
      </c>
      <c r="G62" s="167" t="str">
        <f>VLOOKUP($E62,'Bo phan'!$B$31:$D$39,3,0)</f>
        <v>HNO</v>
      </c>
      <c r="H62" s="84" t="str">
        <f t="shared" si="22"/>
        <v>21250</v>
      </c>
      <c r="I62" s="85" t="str">
        <f t="shared" si="23"/>
        <v>HNO.Bộ phận Tài chính - Kế toán</v>
      </c>
      <c r="J62" s="86"/>
      <c r="K62" s="86">
        <v>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21.75" customHeight="1">
      <c r="A63" s="84"/>
      <c r="B63" s="85"/>
      <c r="C63" s="84">
        <f t="shared" si="21"/>
        <v>212</v>
      </c>
      <c r="D63" s="167" t="s">
        <v>884</v>
      </c>
      <c r="E63" s="167">
        <v>60</v>
      </c>
      <c r="F63" s="167" t="str">
        <f>VLOOKUP(E63,'Bo phan'!$B$31:$D$39,2,0)</f>
        <v>Cần Thơ</v>
      </c>
      <c r="G63" s="167" t="str">
        <f>VLOOKUP($E63,'Bo phan'!$B$31:$D$39,3,0)</f>
        <v>CTH</v>
      </c>
      <c r="H63" s="84" t="str">
        <f t="shared" si="22"/>
        <v>21260</v>
      </c>
      <c r="I63" s="85" t="str">
        <f t="shared" si="23"/>
        <v>CTH.Bộ phận Tài chính - Kế toán</v>
      </c>
      <c r="J63" s="86"/>
      <c r="K63" s="86">
        <v>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21.75" customHeight="1">
      <c r="A64" s="81"/>
      <c r="B64" s="82"/>
      <c r="C64" s="241">
        <v>213</v>
      </c>
      <c r="D64" s="251" t="s">
        <v>885</v>
      </c>
      <c r="E64" s="81"/>
      <c r="F64" s="82"/>
      <c r="G64" s="82"/>
      <c r="H64" s="81" t="str">
        <f>C64&amp;"00"</f>
        <v>21300</v>
      </c>
      <c r="I64" s="82" t="str">
        <f>D64</f>
        <v>Bộ phận Hành chính - Nhân sự</v>
      </c>
      <c r="J64" s="83" t="s">
        <v>30</v>
      </c>
      <c r="K64" s="83">
        <v>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21.75" customHeight="1">
      <c r="A65" s="84"/>
      <c r="B65" s="85"/>
      <c r="C65" s="84">
        <f>$C$64</f>
        <v>213</v>
      </c>
      <c r="D65" s="167" t="s">
        <v>885</v>
      </c>
      <c r="E65" s="167">
        <v>10</v>
      </c>
      <c r="F65" s="167" t="str">
        <f>VLOOKUP($E65,'Bo phan'!$B$31:$D$39,2,0)</f>
        <v>Hồ Chí Minh</v>
      </c>
      <c r="G65" s="167" t="str">
        <f>VLOOKUP($E65,'Bo phan'!$B$31:$D$39,3,0)</f>
        <v>HCM</v>
      </c>
      <c r="H65" s="84" t="str">
        <f>C65&amp;E65</f>
        <v>21310</v>
      </c>
      <c r="I65" s="85" t="str">
        <f>G65&amp;"."&amp;D65</f>
        <v>HCM.Bộ phận Hành chính - Nhân sự</v>
      </c>
      <c r="J65" s="86"/>
      <c r="K65" s="86">
        <v>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21.75" customHeight="1">
      <c r="A66" s="84"/>
      <c r="B66" s="85"/>
      <c r="C66" s="84">
        <f t="shared" ref="C66:C70" si="24">$C$64</f>
        <v>213</v>
      </c>
      <c r="D66" s="167" t="s">
        <v>885</v>
      </c>
      <c r="E66" s="167">
        <v>20</v>
      </c>
      <c r="F66" s="167" t="str">
        <f>VLOOKUP(E66,'Bo phan'!$B$31:$D$39,2,0)</f>
        <v>Nha Trang</v>
      </c>
      <c r="G66" s="167" t="str">
        <f>VLOOKUP($E66,'Bo phan'!$B$31:$D$39,3,0)</f>
        <v>NTR</v>
      </c>
      <c r="H66" s="84" t="str">
        <f t="shared" ref="H66:H70" si="25">C66&amp;E66</f>
        <v>21320</v>
      </c>
      <c r="I66" s="85" t="str">
        <f t="shared" ref="I66:I70" si="26">G66&amp;"."&amp;D66</f>
        <v>NTR.Bộ phận Hành chính - Nhân sự</v>
      </c>
      <c r="J66" s="86"/>
      <c r="K66" s="86">
        <v>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21.75" customHeight="1">
      <c r="A67" s="84"/>
      <c r="B67" s="85"/>
      <c r="C67" s="84">
        <f t="shared" si="24"/>
        <v>213</v>
      </c>
      <c r="D67" s="167" t="s">
        <v>885</v>
      </c>
      <c r="E67" s="167">
        <v>30</v>
      </c>
      <c r="F67" s="167" t="str">
        <f>VLOOKUP(E67,'Bo phan'!$B$31:$D$39,2,0)</f>
        <v>Đắc Lắc</v>
      </c>
      <c r="G67" s="167" t="str">
        <f>VLOOKUP($E67,'Bo phan'!$B$31:$D$39,3,0)</f>
        <v>DLA</v>
      </c>
      <c r="H67" s="84" t="str">
        <f t="shared" si="25"/>
        <v>21330</v>
      </c>
      <c r="I67" s="85" t="str">
        <f t="shared" si="26"/>
        <v>DLA.Bộ phận Hành chính - Nhân sự</v>
      </c>
      <c r="J67" s="86"/>
      <c r="K67" s="86">
        <v>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21.75" customHeight="1">
      <c r="A68" s="84"/>
      <c r="B68" s="85"/>
      <c r="C68" s="84">
        <f t="shared" si="24"/>
        <v>213</v>
      </c>
      <c r="D68" s="167" t="s">
        <v>885</v>
      </c>
      <c r="E68" s="167">
        <v>40</v>
      </c>
      <c r="F68" s="167" t="str">
        <f>VLOOKUP(E68,'Bo phan'!$B$31:$D$39,2,0)</f>
        <v>Đà Nẵng</v>
      </c>
      <c r="G68" s="167" t="str">
        <f>VLOOKUP($E68,'Bo phan'!$B$31:$D$39,3,0)</f>
        <v>DNG</v>
      </c>
      <c r="H68" s="84" t="str">
        <f t="shared" si="25"/>
        <v>21340</v>
      </c>
      <c r="I68" s="85" t="str">
        <f t="shared" si="26"/>
        <v>DNG.Bộ phận Hành chính - Nhân sự</v>
      </c>
      <c r="J68" s="86"/>
      <c r="K68" s="86">
        <v>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21.75" customHeight="1">
      <c r="A69" s="84"/>
      <c r="B69" s="85"/>
      <c r="C69" s="84">
        <f t="shared" si="24"/>
        <v>213</v>
      </c>
      <c r="D69" s="167" t="s">
        <v>885</v>
      </c>
      <c r="E69" s="167">
        <v>50</v>
      </c>
      <c r="F69" s="167" t="str">
        <f>VLOOKUP(E69,'Bo phan'!$B$31:$D$39,2,0)</f>
        <v>Hà Nội</v>
      </c>
      <c r="G69" s="167" t="str">
        <f>VLOOKUP($E69,'Bo phan'!$B$31:$D$39,3,0)</f>
        <v>HNO</v>
      </c>
      <c r="H69" s="84" t="str">
        <f t="shared" si="25"/>
        <v>21350</v>
      </c>
      <c r="I69" s="85" t="str">
        <f t="shared" si="26"/>
        <v>HNO.Bộ phận Hành chính - Nhân sự</v>
      </c>
      <c r="J69" s="86"/>
      <c r="K69" s="86">
        <v>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21.75" customHeight="1">
      <c r="A70" s="84"/>
      <c r="B70" s="85"/>
      <c r="C70" s="84">
        <f t="shared" si="24"/>
        <v>213</v>
      </c>
      <c r="D70" s="167" t="s">
        <v>885</v>
      </c>
      <c r="E70" s="167">
        <v>60</v>
      </c>
      <c r="F70" s="167" t="str">
        <f>VLOOKUP(E70,'Bo phan'!$B$31:$D$39,2,0)</f>
        <v>Cần Thơ</v>
      </c>
      <c r="G70" s="167" t="str">
        <f>VLOOKUP($E70,'Bo phan'!$B$31:$D$39,3,0)</f>
        <v>CTH</v>
      </c>
      <c r="H70" s="84" t="str">
        <f t="shared" si="25"/>
        <v>21360</v>
      </c>
      <c r="I70" s="85" t="str">
        <f t="shared" si="26"/>
        <v>CTH.Bộ phận Hành chính - Nhân sự</v>
      </c>
      <c r="J70" s="86"/>
      <c r="K70" s="86">
        <v>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21.75" customHeight="1">
      <c r="A71" s="81"/>
      <c r="B71" s="82"/>
      <c r="C71" s="241">
        <v>214</v>
      </c>
      <c r="D71" s="251" t="s">
        <v>886</v>
      </c>
      <c r="E71" s="81"/>
      <c r="F71" s="82"/>
      <c r="G71" s="82"/>
      <c r="H71" s="81" t="str">
        <f>C71&amp;"00"</f>
        <v>21400</v>
      </c>
      <c r="I71" s="82" t="str">
        <f>D71</f>
        <v>Bộ phận Kế hoạch</v>
      </c>
      <c r="J71" s="83" t="s">
        <v>30</v>
      </c>
      <c r="K71" s="83">
        <v>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21.75" customHeight="1">
      <c r="A72" s="84"/>
      <c r="B72" s="85"/>
      <c r="C72" s="84">
        <f>$C$71</f>
        <v>214</v>
      </c>
      <c r="D72" s="167" t="s">
        <v>886</v>
      </c>
      <c r="E72" s="167">
        <v>10</v>
      </c>
      <c r="F72" s="167" t="str">
        <f>VLOOKUP($E72,'Bo phan'!$B$31:$D$39,2,0)</f>
        <v>Hồ Chí Minh</v>
      </c>
      <c r="G72" s="167" t="str">
        <f>VLOOKUP($E72,'Bo phan'!$B$31:$D$39,3,0)</f>
        <v>HCM</v>
      </c>
      <c r="H72" s="84" t="str">
        <f>C72&amp;E72</f>
        <v>21410</v>
      </c>
      <c r="I72" s="85" t="str">
        <f>G72&amp;"."&amp;D72</f>
        <v>HCM.Bộ phận Kế hoạch</v>
      </c>
      <c r="J72" s="86"/>
      <c r="K72" s="86">
        <v>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21.75" customHeight="1">
      <c r="A73" s="84"/>
      <c r="B73" s="85"/>
      <c r="C73" s="84">
        <f t="shared" ref="C73:C77" si="27">$C$71</f>
        <v>214</v>
      </c>
      <c r="D73" s="167" t="s">
        <v>886</v>
      </c>
      <c r="E73" s="167">
        <v>20</v>
      </c>
      <c r="F73" s="167" t="str">
        <f>VLOOKUP(E73,'Bo phan'!$B$31:$D$39,2,0)</f>
        <v>Nha Trang</v>
      </c>
      <c r="G73" s="167" t="str">
        <f>VLOOKUP($E73,'Bo phan'!$B$31:$D$39,3,0)</f>
        <v>NTR</v>
      </c>
      <c r="H73" s="84" t="str">
        <f t="shared" ref="H73:H77" si="28">C73&amp;E73</f>
        <v>21420</v>
      </c>
      <c r="I73" s="85" t="str">
        <f t="shared" ref="I73:I77" si="29">G73&amp;"."&amp;D73</f>
        <v>NTR.Bộ phận Kế hoạch</v>
      </c>
      <c r="J73" s="86"/>
      <c r="K73" s="86">
        <v>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21.75" customHeight="1">
      <c r="A74" s="84"/>
      <c r="B74" s="85"/>
      <c r="C74" s="84">
        <f t="shared" si="27"/>
        <v>214</v>
      </c>
      <c r="D74" s="167" t="s">
        <v>886</v>
      </c>
      <c r="E74" s="167">
        <v>30</v>
      </c>
      <c r="F74" s="167" t="str">
        <f>VLOOKUP(E74,'Bo phan'!$B$31:$D$39,2,0)</f>
        <v>Đắc Lắc</v>
      </c>
      <c r="G74" s="167" t="str">
        <f>VLOOKUP($E74,'Bo phan'!$B$31:$D$39,3,0)</f>
        <v>DLA</v>
      </c>
      <c r="H74" s="84" t="str">
        <f t="shared" si="28"/>
        <v>21430</v>
      </c>
      <c r="I74" s="85" t="str">
        <f t="shared" si="29"/>
        <v>DLA.Bộ phận Kế hoạch</v>
      </c>
      <c r="J74" s="86"/>
      <c r="K74" s="86">
        <v>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21.75" customHeight="1">
      <c r="A75" s="84"/>
      <c r="B75" s="85"/>
      <c r="C75" s="84">
        <f t="shared" si="27"/>
        <v>214</v>
      </c>
      <c r="D75" s="167" t="s">
        <v>886</v>
      </c>
      <c r="E75" s="167">
        <v>40</v>
      </c>
      <c r="F75" s="167" t="str">
        <f>VLOOKUP(E75,'Bo phan'!$B$31:$D$39,2,0)</f>
        <v>Đà Nẵng</v>
      </c>
      <c r="G75" s="167" t="str">
        <f>VLOOKUP($E75,'Bo phan'!$B$31:$D$39,3,0)</f>
        <v>DNG</v>
      </c>
      <c r="H75" s="84" t="str">
        <f t="shared" si="28"/>
        <v>21440</v>
      </c>
      <c r="I75" s="85" t="str">
        <f t="shared" si="29"/>
        <v>DNG.Bộ phận Kế hoạch</v>
      </c>
      <c r="J75" s="86"/>
      <c r="K75" s="86">
        <v>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21.75" customHeight="1">
      <c r="A76" s="84"/>
      <c r="B76" s="85"/>
      <c r="C76" s="84">
        <f t="shared" si="27"/>
        <v>214</v>
      </c>
      <c r="D76" s="167" t="s">
        <v>886</v>
      </c>
      <c r="E76" s="167">
        <v>50</v>
      </c>
      <c r="F76" s="167" t="str">
        <f>VLOOKUP(E76,'Bo phan'!$B$31:$D$39,2,0)</f>
        <v>Hà Nội</v>
      </c>
      <c r="G76" s="167" t="str">
        <f>VLOOKUP($E76,'Bo phan'!$B$31:$D$39,3,0)</f>
        <v>HNO</v>
      </c>
      <c r="H76" s="84" t="str">
        <f t="shared" si="28"/>
        <v>21450</v>
      </c>
      <c r="I76" s="85" t="str">
        <f t="shared" si="29"/>
        <v>HNO.Bộ phận Kế hoạch</v>
      </c>
      <c r="J76" s="86"/>
      <c r="K76" s="86">
        <v>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21.75" customHeight="1">
      <c r="A77" s="84"/>
      <c r="B77" s="85"/>
      <c r="C77" s="84">
        <f t="shared" si="27"/>
        <v>214</v>
      </c>
      <c r="D77" s="167" t="s">
        <v>886</v>
      </c>
      <c r="E77" s="167">
        <v>60</v>
      </c>
      <c r="F77" s="167" t="str">
        <f>VLOOKUP(E77,'Bo phan'!$B$31:$D$39,2,0)</f>
        <v>Cần Thơ</v>
      </c>
      <c r="G77" s="167" t="str">
        <f>VLOOKUP($E77,'Bo phan'!$B$31:$D$39,3,0)</f>
        <v>CTH</v>
      </c>
      <c r="H77" s="84" t="str">
        <f t="shared" si="28"/>
        <v>21460</v>
      </c>
      <c r="I77" s="85" t="str">
        <f t="shared" si="29"/>
        <v>CTH.Bộ phận Kế hoạch</v>
      </c>
      <c r="J77" s="86"/>
      <c r="K77" s="86">
        <v>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21.75" customHeight="1">
      <c r="A78" s="81"/>
      <c r="B78" s="82"/>
      <c r="C78" s="241">
        <v>215</v>
      </c>
      <c r="D78" s="251" t="s">
        <v>887</v>
      </c>
      <c r="E78" s="81"/>
      <c r="F78" s="82"/>
      <c r="G78" s="82"/>
      <c r="H78" s="81" t="str">
        <f>C78&amp;"00"</f>
        <v>21500</v>
      </c>
      <c r="I78" s="82" t="str">
        <f>D78</f>
        <v>Bộ phận Xuất nhập khẩu</v>
      </c>
      <c r="J78" s="83" t="s">
        <v>30</v>
      </c>
      <c r="K78" s="83">
        <v>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21.75" customHeight="1">
      <c r="A79" s="84"/>
      <c r="B79" s="85"/>
      <c r="C79" s="84">
        <f>$C$78</f>
        <v>215</v>
      </c>
      <c r="D79" s="167" t="s">
        <v>887</v>
      </c>
      <c r="E79" s="167">
        <v>10</v>
      </c>
      <c r="F79" s="167" t="str">
        <f>VLOOKUP($E79,'Bo phan'!$B$31:$D$39,2,0)</f>
        <v>Hồ Chí Minh</v>
      </c>
      <c r="G79" s="167" t="str">
        <f>VLOOKUP($E79,'Bo phan'!$B$31:$D$39,3,0)</f>
        <v>HCM</v>
      </c>
      <c r="H79" s="84" t="str">
        <f>C79&amp;E79</f>
        <v>21510</v>
      </c>
      <c r="I79" s="85" t="str">
        <f>G79&amp;"."&amp;D79</f>
        <v>HCM.Bộ phận Xuất nhập khẩu</v>
      </c>
      <c r="J79" s="86"/>
      <c r="K79" s="86">
        <v>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21.75" customHeight="1">
      <c r="A80" s="84"/>
      <c r="B80" s="85"/>
      <c r="C80" s="84">
        <f t="shared" ref="C80:C84" si="30">$C$78</f>
        <v>215</v>
      </c>
      <c r="D80" s="167" t="s">
        <v>887</v>
      </c>
      <c r="E80" s="167">
        <v>20</v>
      </c>
      <c r="F80" s="167" t="str">
        <f>VLOOKUP(E80,'Bo phan'!$B$31:$D$39,2,0)</f>
        <v>Nha Trang</v>
      </c>
      <c r="G80" s="167" t="str">
        <f>VLOOKUP($E80,'Bo phan'!$B$31:$D$39,3,0)</f>
        <v>NTR</v>
      </c>
      <c r="H80" s="84" t="str">
        <f t="shared" ref="H80:H84" si="31">C80&amp;E80</f>
        <v>21520</v>
      </c>
      <c r="I80" s="85" t="str">
        <f t="shared" ref="I80:I84" si="32">G80&amp;"."&amp;D80</f>
        <v>NTR.Bộ phận Xuất nhập khẩu</v>
      </c>
      <c r="J80" s="86"/>
      <c r="K80" s="86">
        <v>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21.75" customHeight="1">
      <c r="A81" s="84"/>
      <c r="B81" s="85"/>
      <c r="C81" s="84">
        <f t="shared" si="30"/>
        <v>215</v>
      </c>
      <c r="D81" s="167" t="s">
        <v>887</v>
      </c>
      <c r="E81" s="167">
        <v>30</v>
      </c>
      <c r="F81" s="167" t="str">
        <f>VLOOKUP(E81,'Bo phan'!$B$31:$D$39,2,0)</f>
        <v>Đắc Lắc</v>
      </c>
      <c r="G81" s="167" t="str">
        <f>VLOOKUP($E81,'Bo phan'!$B$31:$D$39,3,0)</f>
        <v>DLA</v>
      </c>
      <c r="H81" s="84" t="str">
        <f t="shared" si="31"/>
        <v>21530</v>
      </c>
      <c r="I81" s="85" t="str">
        <f t="shared" si="32"/>
        <v>DLA.Bộ phận Xuất nhập khẩu</v>
      </c>
      <c r="J81" s="86"/>
      <c r="K81" s="86">
        <v>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21.75" customHeight="1">
      <c r="A82" s="84"/>
      <c r="B82" s="85"/>
      <c r="C82" s="84">
        <f t="shared" si="30"/>
        <v>215</v>
      </c>
      <c r="D82" s="167" t="s">
        <v>887</v>
      </c>
      <c r="E82" s="167">
        <v>40</v>
      </c>
      <c r="F82" s="167" t="str">
        <f>VLOOKUP(E82,'Bo phan'!$B$31:$D$39,2,0)</f>
        <v>Đà Nẵng</v>
      </c>
      <c r="G82" s="167" t="str">
        <f>VLOOKUP($E82,'Bo phan'!$B$31:$D$39,3,0)</f>
        <v>DNG</v>
      </c>
      <c r="H82" s="84" t="str">
        <f t="shared" si="31"/>
        <v>21540</v>
      </c>
      <c r="I82" s="85" t="str">
        <f t="shared" si="32"/>
        <v>DNG.Bộ phận Xuất nhập khẩu</v>
      </c>
      <c r="J82" s="86"/>
      <c r="K82" s="86">
        <v>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21.75" customHeight="1">
      <c r="A83" s="84"/>
      <c r="B83" s="85"/>
      <c r="C83" s="84">
        <f t="shared" si="30"/>
        <v>215</v>
      </c>
      <c r="D83" s="167" t="s">
        <v>887</v>
      </c>
      <c r="E83" s="167">
        <v>50</v>
      </c>
      <c r="F83" s="167" t="str">
        <f>VLOOKUP(E83,'Bo phan'!$B$31:$D$39,2,0)</f>
        <v>Hà Nội</v>
      </c>
      <c r="G83" s="167" t="str">
        <f>VLOOKUP($E83,'Bo phan'!$B$31:$D$39,3,0)</f>
        <v>HNO</v>
      </c>
      <c r="H83" s="84" t="str">
        <f t="shared" si="31"/>
        <v>21550</v>
      </c>
      <c r="I83" s="85" t="str">
        <f t="shared" si="32"/>
        <v>HNO.Bộ phận Xuất nhập khẩu</v>
      </c>
      <c r="J83" s="86"/>
      <c r="K83" s="86">
        <v>3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21.75" customHeight="1">
      <c r="A84" s="84"/>
      <c r="B84" s="85"/>
      <c r="C84" s="84">
        <f t="shared" si="30"/>
        <v>215</v>
      </c>
      <c r="D84" s="167" t="s">
        <v>887</v>
      </c>
      <c r="E84" s="167">
        <v>60</v>
      </c>
      <c r="F84" s="167" t="str">
        <f>VLOOKUP(E84,'Bo phan'!$B$31:$D$39,2,0)</f>
        <v>Cần Thơ</v>
      </c>
      <c r="G84" s="167" t="str">
        <f>VLOOKUP($E84,'Bo phan'!$B$31:$D$39,3,0)</f>
        <v>CTH</v>
      </c>
      <c r="H84" s="84" t="str">
        <f t="shared" si="31"/>
        <v>21560</v>
      </c>
      <c r="I84" s="85" t="str">
        <f t="shared" si="32"/>
        <v>CTH.Bộ phận Xuất nhập khẩu</v>
      </c>
      <c r="J84" s="86"/>
      <c r="K84" s="86">
        <v>3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21.75" customHeight="1">
      <c r="A85" s="81"/>
      <c r="B85" s="82"/>
      <c r="C85" s="241">
        <v>216</v>
      </c>
      <c r="D85" s="251" t="s">
        <v>888</v>
      </c>
      <c r="E85" s="81"/>
      <c r="F85" s="82"/>
      <c r="G85" s="82"/>
      <c r="H85" s="81" t="str">
        <f>C85&amp;"00"</f>
        <v>21600</v>
      </c>
      <c r="I85" s="82" t="str">
        <f>D85</f>
        <v>Bộ phận Sourcing</v>
      </c>
      <c r="J85" s="83" t="s">
        <v>30</v>
      </c>
      <c r="K85" s="83">
        <v>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21.75" customHeight="1">
      <c r="A86" s="84"/>
      <c r="B86" s="85"/>
      <c r="C86" s="84">
        <f>$C$85</f>
        <v>216</v>
      </c>
      <c r="D86" s="167" t="s">
        <v>888</v>
      </c>
      <c r="E86" s="167">
        <v>10</v>
      </c>
      <c r="F86" s="167" t="str">
        <f>VLOOKUP($E86,'Bo phan'!$B$31:$D$39,2,0)</f>
        <v>Hồ Chí Minh</v>
      </c>
      <c r="G86" s="167" t="str">
        <f>VLOOKUP($E86,'Bo phan'!$B$31:$D$39,3,0)</f>
        <v>HCM</v>
      </c>
      <c r="H86" s="84" t="str">
        <f>C86&amp;E86</f>
        <v>21610</v>
      </c>
      <c r="I86" s="85" t="str">
        <f>G86&amp;"."&amp;D86</f>
        <v>HCM.Bộ phận Sourcing</v>
      </c>
      <c r="J86" s="86"/>
      <c r="K86" s="86">
        <v>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21.75" customHeight="1">
      <c r="A87" s="84"/>
      <c r="B87" s="85"/>
      <c r="C87" s="84">
        <f t="shared" ref="C87:C91" si="33">$C$85</f>
        <v>216</v>
      </c>
      <c r="D87" s="167" t="s">
        <v>888</v>
      </c>
      <c r="E87" s="167">
        <v>20</v>
      </c>
      <c r="F87" s="167" t="str">
        <f>VLOOKUP(E87,'Bo phan'!$B$31:$D$39,2,0)</f>
        <v>Nha Trang</v>
      </c>
      <c r="G87" s="167" t="str">
        <f>VLOOKUP($E87,'Bo phan'!$B$31:$D$39,3,0)</f>
        <v>NTR</v>
      </c>
      <c r="H87" s="84" t="str">
        <f t="shared" ref="H87:H91" si="34">C87&amp;E87</f>
        <v>21620</v>
      </c>
      <c r="I87" s="85" t="str">
        <f t="shared" ref="I87:I91" si="35">G87&amp;"."&amp;D87</f>
        <v>NTR.Bộ phận Sourcing</v>
      </c>
      <c r="J87" s="86"/>
      <c r="K87" s="86">
        <v>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21.75" customHeight="1">
      <c r="A88" s="84"/>
      <c r="B88" s="85"/>
      <c r="C88" s="84">
        <f t="shared" si="33"/>
        <v>216</v>
      </c>
      <c r="D88" s="167" t="s">
        <v>888</v>
      </c>
      <c r="E88" s="167">
        <v>30</v>
      </c>
      <c r="F88" s="167" t="str">
        <f>VLOOKUP(E88,'Bo phan'!$B$31:$D$39,2,0)</f>
        <v>Đắc Lắc</v>
      </c>
      <c r="G88" s="167" t="str">
        <f>VLOOKUP($E88,'Bo phan'!$B$31:$D$39,3,0)</f>
        <v>DLA</v>
      </c>
      <c r="H88" s="84" t="str">
        <f t="shared" si="34"/>
        <v>21630</v>
      </c>
      <c r="I88" s="85" t="str">
        <f t="shared" si="35"/>
        <v>DLA.Bộ phận Sourcing</v>
      </c>
      <c r="J88" s="86"/>
      <c r="K88" s="86">
        <v>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21.75" customHeight="1">
      <c r="A89" s="84"/>
      <c r="B89" s="85"/>
      <c r="C89" s="84">
        <f t="shared" si="33"/>
        <v>216</v>
      </c>
      <c r="D89" s="167" t="s">
        <v>888</v>
      </c>
      <c r="E89" s="167">
        <v>40</v>
      </c>
      <c r="F89" s="167" t="str">
        <f>VLOOKUP(E89,'Bo phan'!$B$31:$D$39,2,0)</f>
        <v>Đà Nẵng</v>
      </c>
      <c r="G89" s="167" t="str">
        <f>VLOOKUP($E89,'Bo phan'!$B$31:$D$39,3,0)</f>
        <v>DNG</v>
      </c>
      <c r="H89" s="84" t="str">
        <f t="shared" si="34"/>
        <v>21640</v>
      </c>
      <c r="I89" s="85" t="str">
        <f t="shared" si="35"/>
        <v>DNG.Bộ phận Sourcing</v>
      </c>
      <c r="J89" s="86"/>
      <c r="K89" s="86">
        <v>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21.75" customHeight="1">
      <c r="A90" s="84"/>
      <c r="B90" s="85"/>
      <c r="C90" s="84">
        <f t="shared" si="33"/>
        <v>216</v>
      </c>
      <c r="D90" s="167" t="s">
        <v>888</v>
      </c>
      <c r="E90" s="167">
        <v>50</v>
      </c>
      <c r="F90" s="167" t="str">
        <f>VLOOKUP(E90,'Bo phan'!$B$31:$D$39,2,0)</f>
        <v>Hà Nội</v>
      </c>
      <c r="G90" s="167" t="str">
        <f>VLOOKUP($E90,'Bo phan'!$B$31:$D$39,3,0)</f>
        <v>HNO</v>
      </c>
      <c r="H90" s="84" t="str">
        <f t="shared" si="34"/>
        <v>21650</v>
      </c>
      <c r="I90" s="85" t="str">
        <f t="shared" si="35"/>
        <v>HNO.Bộ phận Sourcing</v>
      </c>
      <c r="J90" s="86"/>
      <c r="K90" s="86">
        <v>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21.75" customHeight="1">
      <c r="A91" s="84"/>
      <c r="B91" s="85"/>
      <c r="C91" s="84">
        <f t="shared" si="33"/>
        <v>216</v>
      </c>
      <c r="D91" s="167" t="s">
        <v>888</v>
      </c>
      <c r="E91" s="167">
        <v>60</v>
      </c>
      <c r="F91" s="167" t="str">
        <f>VLOOKUP(E91,'Bo phan'!$B$31:$D$39,2,0)</f>
        <v>Cần Thơ</v>
      </c>
      <c r="G91" s="167" t="str">
        <f>VLOOKUP($E91,'Bo phan'!$B$31:$D$39,3,0)</f>
        <v>CTH</v>
      </c>
      <c r="H91" s="84" t="str">
        <f t="shared" si="34"/>
        <v>21660</v>
      </c>
      <c r="I91" s="85" t="str">
        <f t="shared" si="35"/>
        <v>CTH.Bộ phận Sourcing</v>
      </c>
      <c r="J91" s="86"/>
      <c r="K91" s="86">
        <v>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21.75" customHeight="1">
      <c r="A92" s="81"/>
      <c r="B92" s="82"/>
      <c r="C92" s="241">
        <v>217</v>
      </c>
      <c r="D92" s="251" t="s">
        <v>889</v>
      </c>
      <c r="E92" s="81"/>
      <c r="F92" s="82"/>
      <c r="G92" s="82"/>
      <c r="H92" s="81" t="str">
        <f>C92&amp;"00"</f>
        <v>21700</v>
      </c>
      <c r="I92" s="82" t="str">
        <f>D92</f>
        <v>Bộ phận Mua hàng</v>
      </c>
      <c r="J92" s="83" t="s">
        <v>30</v>
      </c>
      <c r="K92" s="83">
        <v>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21.75" customHeight="1">
      <c r="A93" s="84"/>
      <c r="B93" s="85"/>
      <c r="C93" s="84">
        <f>$C$92</f>
        <v>217</v>
      </c>
      <c r="D93" s="167" t="s">
        <v>889</v>
      </c>
      <c r="E93" s="167">
        <v>10</v>
      </c>
      <c r="F93" s="167" t="str">
        <f>VLOOKUP($E93,'Bo phan'!$B$31:$D$39,2,0)</f>
        <v>Hồ Chí Minh</v>
      </c>
      <c r="G93" s="167" t="str">
        <f>VLOOKUP($E93,'Bo phan'!$B$31:$D$39,3,0)</f>
        <v>HCM</v>
      </c>
      <c r="H93" s="84" t="str">
        <f>C93&amp;E93</f>
        <v>21710</v>
      </c>
      <c r="I93" s="85" t="str">
        <f>G93&amp;"."&amp;D93</f>
        <v>HCM.Bộ phận Mua hàng</v>
      </c>
      <c r="J93" s="86"/>
      <c r="K93" s="86">
        <v>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21.75" customHeight="1">
      <c r="A94" s="84"/>
      <c r="B94" s="85"/>
      <c r="C94" s="84">
        <f t="shared" ref="C94:C98" si="36">$C$92</f>
        <v>217</v>
      </c>
      <c r="D94" s="167" t="s">
        <v>889</v>
      </c>
      <c r="E94" s="167">
        <v>20</v>
      </c>
      <c r="F94" s="167" t="str">
        <f>VLOOKUP(E94,'Bo phan'!$B$31:$D$39,2,0)</f>
        <v>Nha Trang</v>
      </c>
      <c r="G94" s="167" t="str">
        <f>VLOOKUP($E94,'Bo phan'!$B$31:$D$39,3,0)</f>
        <v>NTR</v>
      </c>
      <c r="H94" s="84" t="str">
        <f t="shared" ref="H94:H98" si="37">C94&amp;E94</f>
        <v>21720</v>
      </c>
      <c r="I94" s="85" t="str">
        <f t="shared" ref="I94:I98" si="38">G94&amp;"."&amp;D94</f>
        <v>NTR.Bộ phận Mua hàng</v>
      </c>
      <c r="J94" s="86"/>
      <c r="K94" s="86">
        <v>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21.75" customHeight="1">
      <c r="A95" s="84"/>
      <c r="B95" s="85"/>
      <c r="C95" s="84">
        <f t="shared" si="36"/>
        <v>217</v>
      </c>
      <c r="D95" s="167" t="s">
        <v>889</v>
      </c>
      <c r="E95" s="167">
        <v>30</v>
      </c>
      <c r="F95" s="167" t="str">
        <f>VLOOKUP(E95,'Bo phan'!$B$31:$D$39,2,0)</f>
        <v>Đắc Lắc</v>
      </c>
      <c r="G95" s="167" t="str">
        <f>VLOOKUP($E95,'Bo phan'!$B$31:$D$39,3,0)</f>
        <v>DLA</v>
      </c>
      <c r="H95" s="84" t="str">
        <f t="shared" si="37"/>
        <v>21730</v>
      </c>
      <c r="I95" s="85" t="str">
        <f t="shared" si="38"/>
        <v>DLA.Bộ phận Mua hàng</v>
      </c>
      <c r="J95" s="86"/>
      <c r="K95" s="86">
        <v>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21.75" customHeight="1">
      <c r="A96" s="84"/>
      <c r="B96" s="85"/>
      <c r="C96" s="84">
        <f t="shared" si="36"/>
        <v>217</v>
      </c>
      <c r="D96" s="167" t="s">
        <v>889</v>
      </c>
      <c r="E96" s="167">
        <v>40</v>
      </c>
      <c r="F96" s="167" t="str">
        <f>VLOOKUP(E96,'Bo phan'!$B$31:$D$39,2,0)</f>
        <v>Đà Nẵng</v>
      </c>
      <c r="G96" s="167" t="str">
        <f>VLOOKUP($E96,'Bo phan'!$B$31:$D$39,3,0)</f>
        <v>DNG</v>
      </c>
      <c r="H96" s="84" t="str">
        <f t="shared" si="37"/>
        <v>21740</v>
      </c>
      <c r="I96" s="85" t="str">
        <f t="shared" si="38"/>
        <v>DNG.Bộ phận Mua hàng</v>
      </c>
      <c r="J96" s="86"/>
      <c r="K96" s="86">
        <v>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21.75" customHeight="1">
      <c r="A97" s="84"/>
      <c r="B97" s="85"/>
      <c r="C97" s="84">
        <f t="shared" si="36"/>
        <v>217</v>
      </c>
      <c r="D97" s="167" t="s">
        <v>889</v>
      </c>
      <c r="E97" s="167">
        <v>50</v>
      </c>
      <c r="F97" s="167" t="str">
        <f>VLOOKUP(E97,'Bo phan'!$B$31:$D$39,2,0)</f>
        <v>Hà Nội</v>
      </c>
      <c r="G97" s="167" t="str">
        <f>VLOOKUP($E97,'Bo phan'!$B$31:$D$39,3,0)</f>
        <v>HNO</v>
      </c>
      <c r="H97" s="84" t="str">
        <f t="shared" si="37"/>
        <v>21750</v>
      </c>
      <c r="I97" s="85" t="str">
        <f t="shared" si="38"/>
        <v>HNO.Bộ phận Mua hàng</v>
      </c>
      <c r="J97" s="86"/>
      <c r="K97" s="86">
        <v>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21.75" customHeight="1">
      <c r="A98" s="84"/>
      <c r="B98" s="85"/>
      <c r="C98" s="84">
        <f t="shared" si="36"/>
        <v>217</v>
      </c>
      <c r="D98" s="167" t="s">
        <v>889</v>
      </c>
      <c r="E98" s="167">
        <v>60</v>
      </c>
      <c r="F98" s="167" t="str">
        <f>VLOOKUP(E98,'Bo phan'!$B$31:$D$39,2,0)</f>
        <v>Cần Thơ</v>
      </c>
      <c r="G98" s="167" t="str">
        <f>VLOOKUP($E98,'Bo phan'!$B$31:$D$39,3,0)</f>
        <v>CTH</v>
      </c>
      <c r="H98" s="84" t="str">
        <f t="shared" si="37"/>
        <v>21760</v>
      </c>
      <c r="I98" s="85" t="str">
        <f t="shared" si="38"/>
        <v>CTH.Bộ phận Mua hàng</v>
      </c>
      <c r="J98" s="86"/>
      <c r="K98" s="86">
        <v>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21.75" customHeight="1">
      <c r="A99" s="81"/>
      <c r="B99" s="82"/>
      <c r="C99" s="241">
        <v>218</v>
      </c>
      <c r="D99" s="251" t="s">
        <v>890</v>
      </c>
      <c r="E99" s="81"/>
      <c r="F99" s="82"/>
      <c r="G99" s="82"/>
      <c r="H99" s="81" t="str">
        <f>C99&amp;"00"</f>
        <v>21800</v>
      </c>
      <c r="I99" s="82" t="str">
        <f>D99</f>
        <v>Bộ phận Công nghệ thông tin</v>
      </c>
      <c r="J99" s="83" t="s">
        <v>30</v>
      </c>
      <c r="K99" s="83">
        <v>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21.75" customHeight="1">
      <c r="A100" s="84"/>
      <c r="B100" s="85"/>
      <c r="C100" s="84">
        <f>$C$99</f>
        <v>218</v>
      </c>
      <c r="D100" s="167" t="s">
        <v>890</v>
      </c>
      <c r="E100" s="167">
        <v>10</v>
      </c>
      <c r="F100" s="167" t="str">
        <f>VLOOKUP($E100,'Bo phan'!$B$31:$D$39,2,0)</f>
        <v>Hồ Chí Minh</v>
      </c>
      <c r="G100" s="167" t="str">
        <f>VLOOKUP($E100,'Bo phan'!$B$31:$D$39,3,0)</f>
        <v>HCM</v>
      </c>
      <c r="H100" s="84" t="str">
        <f>C100&amp;E100</f>
        <v>21810</v>
      </c>
      <c r="I100" s="85" t="str">
        <f>G100&amp;"."&amp;D100</f>
        <v>HCM.Bộ phận Công nghệ thông tin</v>
      </c>
      <c r="J100" s="86"/>
      <c r="K100" s="86">
        <v>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21.75" customHeight="1">
      <c r="A101" s="84"/>
      <c r="B101" s="85"/>
      <c r="C101" s="84">
        <f t="shared" ref="C101:C105" si="39">$C$99</f>
        <v>218</v>
      </c>
      <c r="D101" s="167" t="s">
        <v>890</v>
      </c>
      <c r="E101" s="167">
        <v>20</v>
      </c>
      <c r="F101" s="167" t="str">
        <f>VLOOKUP(E101,'Bo phan'!$B$31:$D$39,2,0)</f>
        <v>Nha Trang</v>
      </c>
      <c r="G101" s="167" t="str">
        <f>VLOOKUP($E101,'Bo phan'!$B$31:$D$39,3,0)</f>
        <v>NTR</v>
      </c>
      <c r="H101" s="84" t="str">
        <f t="shared" ref="H101:H105" si="40">C101&amp;E101</f>
        <v>21820</v>
      </c>
      <c r="I101" s="85" t="str">
        <f t="shared" ref="I101:I105" si="41">G101&amp;"."&amp;D101</f>
        <v>NTR.Bộ phận Công nghệ thông tin</v>
      </c>
      <c r="J101" s="86"/>
      <c r="K101" s="86">
        <v>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21.75" customHeight="1">
      <c r="A102" s="84"/>
      <c r="B102" s="85"/>
      <c r="C102" s="84">
        <f t="shared" si="39"/>
        <v>218</v>
      </c>
      <c r="D102" s="167" t="s">
        <v>890</v>
      </c>
      <c r="E102" s="167">
        <v>30</v>
      </c>
      <c r="F102" s="167" t="str">
        <f>VLOOKUP(E102,'Bo phan'!$B$31:$D$39,2,0)</f>
        <v>Đắc Lắc</v>
      </c>
      <c r="G102" s="167" t="str">
        <f>VLOOKUP($E102,'Bo phan'!$B$31:$D$39,3,0)</f>
        <v>DLA</v>
      </c>
      <c r="H102" s="84" t="str">
        <f t="shared" si="40"/>
        <v>21830</v>
      </c>
      <c r="I102" s="85" t="str">
        <f t="shared" si="41"/>
        <v>DLA.Bộ phận Công nghệ thông tin</v>
      </c>
      <c r="J102" s="86"/>
      <c r="K102" s="86">
        <v>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21.75" customHeight="1">
      <c r="A103" s="84"/>
      <c r="B103" s="85"/>
      <c r="C103" s="84">
        <f t="shared" si="39"/>
        <v>218</v>
      </c>
      <c r="D103" s="167" t="s">
        <v>890</v>
      </c>
      <c r="E103" s="167">
        <v>40</v>
      </c>
      <c r="F103" s="167" t="str">
        <f>VLOOKUP(E103,'Bo phan'!$B$31:$D$39,2,0)</f>
        <v>Đà Nẵng</v>
      </c>
      <c r="G103" s="167" t="str">
        <f>VLOOKUP($E103,'Bo phan'!$B$31:$D$39,3,0)</f>
        <v>DNG</v>
      </c>
      <c r="H103" s="84" t="str">
        <f t="shared" si="40"/>
        <v>21840</v>
      </c>
      <c r="I103" s="85" t="str">
        <f t="shared" si="41"/>
        <v>DNG.Bộ phận Công nghệ thông tin</v>
      </c>
      <c r="J103" s="86"/>
      <c r="K103" s="86">
        <v>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21.75" customHeight="1">
      <c r="A104" s="84"/>
      <c r="B104" s="85"/>
      <c r="C104" s="84">
        <f t="shared" si="39"/>
        <v>218</v>
      </c>
      <c r="D104" s="167" t="s">
        <v>890</v>
      </c>
      <c r="E104" s="167">
        <v>50</v>
      </c>
      <c r="F104" s="167" t="str">
        <f>VLOOKUP(E104,'Bo phan'!$B$31:$D$39,2,0)</f>
        <v>Hà Nội</v>
      </c>
      <c r="G104" s="167" t="str">
        <f>VLOOKUP($E104,'Bo phan'!$B$31:$D$39,3,0)</f>
        <v>HNO</v>
      </c>
      <c r="H104" s="84" t="str">
        <f t="shared" si="40"/>
        <v>21850</v>
      </c>
      <c r="I104" s="85" t="str">
        <f t="shared" si="41"/>
        <v>HNO.Bộ phận Công nghệ thông tin</v>
      </c>
      <c r="J104" s="86"/>
      <c r="K104" s="86">
        <v>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21.75" customHeight="1">
      <c r="A105" s="84"/>
      <c r="B105" s="85"/>
      <c r="C105" s="84">
        <f t="shared" si="39"/>
        <v>218</v>
      </c>
      <c r="D105" s="167" t="s">
        <v>890</v>
      </c>
      <c r="E105" s="167">
        <v>60</v>
      </c>
      <c r="F105" s="167" t="str">
        <f>VLOOKUP(E105,'Bo phan'!$B$31:$D$39,2,0)</f>
        <v>Cần Thơ</v>
      </c>
      <c r="G105" s="167" t="str">
        <f>VLOOKUP($E105,'Bo phan'!$B$31:$D$39,3,0)</f>
        <v>CTH</v>
      </c>
      <c r="H105" s="84" t="str">
        <f t="shared" si="40"/>
        <v>21860</v>
      </c>
      <c r="I105" s="85" t="str">
        <f t="shared" si="41"/>
        <v>CTH.Bộ phận Công nghệ thông tin</v>
      </c>
      <c r="J105" s="86"/>
      <c r="K105" s="86">
        <v>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21.75" customHeight="1">
      <c r="A106" s="81"/>
      <c r="B106" s="82"/>
      <c r="C106" s="241">
        <v>219</v>
      </c>
      <c r="D106" s="251" t="s">
        <v>891</v>
      </c>
      <c r="E106" s="81"/>
      <c r="F106" s="82"/>
      <c r="G106" s="82"/>
      <c r="H106" s="81" t="str">
        <f>C106&amp;"00"</f>
        <v>21900</v>
      </c>
      <c r="I106" s="82" t="str">
        <f>D106</f>
        <v>Bộ phận Nghiên cứu phát triển</v>
      </c>
      <c r="J106" s="83" t="s">
        <v>30</v>
      </c>
      <c r="K106" s="83">
        <v>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21.75" customHeight="1">
      <c r="A107" s="84"/>
      <c r="B107" s="85"/>
      <c r="C107" s="84">
        <f>$C$106</f>
        <v>219</v>
      </c>
      <c r="D107" s="167" t="s">
        <v>891</v>
      </c>
      <c r="E107" s="167">
        <v>10</v>
      </c>
      <c r="F107" s="167" t="str">
        <f>VLOOKUP($E107,'Bo phan'!$B$31:$D$39,2,0)</f>
        <v>Hồ Chí Minh</v>
      </c>
      <c r="G107" s="167" t="str">
        <f>VLOOKUP($E107,'Bo phan'!$B$31:$D$39,3,0)</f>
        <v>HCM</v>
      </c>
      <c r="H107" s="84" t="str">
        <f>C107&amp;E107</f>
        <v>21910</v>
      </c>
      <c r="I107" s="85" t="str">
        <f>G107&amp;"."&amp;D107</f>
        <v>HCM.Bộ phận Nghiên cứu phát triển</v>
      </c>
      <c r="J107" s="86"/>
      <c r="K107" s="86">
        <v>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21.75" customHeight="1">
      <c r="A108" s="84"/>
      <c r="B108" s="85"/>
      <c r="C108" s="84">
        <f t="shared" ref="C108:C112" si="42">$C$106</f>
        <v>219</v>
      </c>
      <c r="D108" s="167" t="s">
        <v>891</v>
      </c>
      <c r="E108" s="167">
        <v>20</v>
      </c>
      <c r="F108" s="167" t="str">
        <f>VLOOKUP(E108,'Bo phan'!$B$31:$D$39,2,0)</f>
        <v>Nha Trang</v>
      </c>
      <c r="G108" s="167" t="str">
        <f>VLOOKUP($E108,'Bo phan'!$B$31:$D$39,3,0)</f>
        <v>NTR</v>
      </c>
      <c r="H108" s="84" t="str">
        <f t="shared" ref="H108:H112" si="43">C108&amp;E108</f>
        <v>21920</v>
      </c>
      <c r="I108" s="85" t="str">
        <f t="shared" ref="I108:I112" si="44">G108&amp;"."&amp;D108</f>
        <v>NTR.Bộ phận Nghiên cứu phát triển</v>
      </c>
      <c r="J108" s="86"/>
      <c r="K108" s="86">
        <v>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21.75" customHeight="1">
      <c r="A109" s="84"/>
      <c r="B109" s="85"/>
      <c r="C109" s="84">
        <f t="shared" si="42"/>
        <v>219</v>
      </c>
      <c r="D109" s="167" t="s">
        <v>891</v>
      </c>
      <c r="E109" s="167">
        <v>30</v>
      </c>
      <c r="F109" s="167" t="str">
        <f>VLOOKUP(E109,'Bo phan'!$B$31:$D$39,2,0)</f>
        <v>Đắc Lắc</v>
      </c>
      <c r="G109" s="167" t="str">
        <f>VLOOKUP($E109,'Bo phan'!$B$31:$D$39,3,0)</f>
        <v>DLA</v>
      </c>
      <c r="H109" s="84" t="str">
        <f t="shared" si="43"/>
        <v>21930</v>
      </c>
      <c r="I109" s="85" t="str">
        <f t="shared" si="44"/>
        <v>DLA.Bộ phận Nghiên cứu phát triển</v>
      </c>
      <c r="J109" s="86"/>
      <c r="K109" s="86">
        <v>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21.75" customHeight="1">
      <c r="A110" s="84"/>
      <c r="B110" s="85"/>
      <c r="C110" s="84">
        <f t="shared" si="42"/>
        <v>219</v>
      </c>
      <c r="D110" s="167" t="s">
        <v>891</v>
      </c>
      <c r="E110" s="167">
        <v>40</v>
      </c>
      <c r="F110" s="167" t="str">
        <f>VLOOKUP(E110,'Bo phan'!$B$31:$D$39,2,0)</f>
        <v>Đà Nẵng</v>
      </c>
      <c r="G110" s="167" t="str">
        <f>VLOOKUP($E110,'Bo phan'!$B$31:$D$39,3,0)</f>
        <v>DNG</v>
      </c>
      <c r="H110" s="84" t="str">
        <f t="shared" si="43"/>
        <v>21940</v>
      </c>
      <c r="I110" s="85" t="str">
        <f t="shared" si="44"/>
        <v>DNG.Bộ phận Nghiên cứu phát triển</v>
      </c>
      <c r="J110" s="86"/>
      <c r="K110" s="86">
        <v>3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21.75" customHeight="1">
      <c r="A111" s="84"/>
      <c r="B111" s="85"/>
      <c r="C111" s="84">
        <f t="shared" si="42"/>
        <v>219</v>
      </c>
      <c r="D111" s="167" t="s">
        <v>891</v>
      </c>
      <c r="E111" s="167">
        <v>50</v>
      </c>
      <c r="F111" s="167" t="str">
        <f>VLOOKUP(E111,'Bo phan'!$B$31:$D$39,2,0)</f>
        <v>Hà Nội</v>
      </c>
      <c r="G111" s="167" t="str">
        <f>VLOOKUP($E111,'Bo phan'!$B$31:$D$39,3,0)</f>
        <v>HNO</v>
      </c>
      <c r="H111" s="84" t="str">
        <f t="shared" si="43"/>
        <v>21950</v>
      </c>
      <c r="I111" s="85" t="str">
        <f t="shared" si="44"/>
        <v>HNO.Bộ phận Nghiên cứu phát triển</v>
      </c>
      <c r="J111" s="86"/>
      <c r="K111" s="86">
        <v>3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21.75" customHeight="1">
      <c r="A112" s="84"/>
      <c r="B112" s="85"/>
      <c r="C112" s="84">
        <f t="shared" si="42"/>
        <v>219</v>
      </c>
      <c r="D112" s="167" t="s">
        <v>891</v>
      </c>
      <c r="E112" s="167">
        <v>60</v>
      </c>
      <c r="F112" s="167" t="str">
        <f>VLOOKUP(E112,'Bo phan'!$B$31:$D$39,2,0)</f>
        <v>Cần Thơ</v>
      </c>
      <c r="G112" s="167" t="str">
        <f>VLOOKUP($E112,'Bo phan'!$B$31:$D$39,3,0)</f>
        <v>CTH</v>
      </c>
      <c r="H112" s="84" t="str">
        <f t="shared" si="43"/>
        <v>21960</v>
      </c>
      <c r="I112" s="85" t="str">
        <f t="shared" si="44"/>
        <v>CTH.Bộ phận Nghiên cứu phát triển</v>
      </c>
      <c r="J112" s="86"/>
      <c r="K112" s="86">
        <v>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21.75" customHeight="1">
      <c r="A113" s="81"/>
      <c r="B113" s="82"/>
      <c r="C113" s="241">
        <v>220</v>
      </c>
      <c r="D113" s="251" t="s">
        <v>892</v>
      </c>
      <c r="E113" s="81"/>
      <c r="F113" s="82"/>
      <c r="G113" s="82"/>
      <c r="H113" s="81" t="str">
        <f>C113&amp;"00"</f>
        <v>22000</v>
      </c>
      <c r="I113" s="82" t="str">
        <f>D113</f>
        <v>Bộ phận Bảo trì - Kỹ thuật - Cơ điện</v>
      </c>
      <c r="J113" s="83" t="s">
        <v>30</v>
      </c>
      <c r="K113" s="83">
        <v>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21.75" customHeight="1">
      <c r="A114" s="84"/>
      <c r="B114" s="85"/>
      <c r="C114" s="84">
        <f>$C$113</f>
        <v>220</v>
      </c>
      <c r="D114" s="167" t="s">
        <v>892</v>
      </c>
      <c r="E114" s="167">
        <v>10</v>
      </c>
      <c r="F114" s="167" t="str">
        <f>VLOOKUP($E114,'Bo phan'!$B$31:$D$39,2,0)</f>
        <v>Hồ Chí Minh</v>
      </c>
      <c r="G114" s="167" t="str">
        <f>VLOOKUP($E114,'Bo phan'!$B$31:$D$39,3,0)</f>
        <v>HCM</v>
      </c>
      <c r="H114" s="84" t="str">
        <f>C114&amp;E114</f>
        <v>22010</v>
      </c>
      <c r="I114" s="85" t="str">
        <f>G114&amp;"."&amp;D114</f>
        <v>HCM.Bộ phận Bảo trì - Kỹ thuật - Cơ điện</v>
      </c>
      <c r="J114" s="86"/>
      <c r="K114" s="86">
        <v>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21.75" customHeight="1">
      <c r="A115" s="84"/>
      <c r="B115" s="85"/>
      <c r="C115" s="84">
        <f t="shared" ref="C115:C119" si="45">$C$113</f>
        <v>220</v>
      </c>
      <c r="D115" s="167" t="s">
        <v>892</v>
      </c>
      <c r="E115" s="167">
        <v>20</v>
      </c>
      <c r="F115" s="167" t="str">
        <f>VLOOKUP(E115,'Bo phan'!$B$31:$D$39,2,0)</f>
        <v>Nha Trang</v>
      </c>
      <c r="G115" s="167" t="str">
        <f>VLOOKUP($E115,'Bo phan'!$B$31:$D$39,3,0)</f>
        <v>NTR</v>
      </c>
      <c r="H115" s="84" t="str">
        <f t="shared" ref="H115:H119" si="46">C115&amp;E115</f>
        <v>22020</v>
      </c>
      <c r="I115" s="85" t="str">
        <f t="shared" ref="I115:I119" si="47">G115&amp;"."&amp;D115</f>
        <v>NTR.Bộ phận Bảo trì - Kỹ thuật - Cơ điện</v>
      </c>
      <c r="J115" s="86"/>
      <c r="K115" s="86">
        <v>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21.75" customHeight="1">
      <c r="A116" s="84"/>
      <c r="B116" s="85"/>
      <c r="C116" s="84">
        <f t="shared" si="45"/>
        <v>220</v>
      </c>
      <c r="D116" s="167" t="s">
        <v>892</v>
      </c>
      <c r="E116" s="167">
        <v>30</v>
      </c>
      <c r="F116" s="167" t="str">
        <f>VLOOKUP(E116,'Bo phan'!$B$31:$D$39,2,0)</f>
        <v>Đắc Lắc</v>
      </c>
      <c r="G116" s="167" t="str">
        <f>VLOOKUP($E116,'Bo phan'!$B$31:$D$39,3,0)</f>
        <v>DLA</v>
      </c>
      <c r="H116" s="84" t="str">
        <f t="shared" si="46"/>
        <v>22030</v>
      </c>
      <c r="I116" s="85" t="str">
        <f t="shared" si="47"/>
        <v>DLA.Bộ phận Bảo trì - Kỹ thuật - Cơ điện</v>
      </c>
      <c r="J116" s="86"/>
      <c r="K116" s="86">
        <v>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21.75" customHeight="1">
      <c r="A117" s="84"/>
      <c r="B117" s="85"/>
      <c r="C117" s="84">
        <f t="shared" si="45"/>
        <v>220</v>
      </c>
      <c r="D117" s="167" t="s">
        <v>892</v>
      </c>
      <c r="E117" s="167">
        <v>40</v>
      </c>
      <c r="F117" s="167" t="str">
        <f>VLOOKUP(E117,'Bo phan'!$B$31:$D$39,2,0)</f>
        <v>Đà Nẵng</v>
      </c>
      <c r="G117" s="167" t="str">
        <f>VLOOKUP($E117,'Bo phan'!$B$31:$D$39,3,0)</f>
        <v>DNG</v>
      </c>
      <c r="H117" s="84" t="str">
        <f t="shared" si="46"/>
        <v>22040</v>
      </c>
      <c r="I117" s="85" t="str">
        <f t="shared" si="47"/>
        <v>DNG.Bộ phận Bảo trì - Kỹ thuật - Cơ điện</v>
      </c>
      <c r="J117" s="86"/>
      <c r="K117" s="86">
        <v>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21.75" customHeight="1">
      <c r="A118" s="84"/>
      <c r="B118" s="85"/>
      <c r="C118" s="84">
        <f t="shared" si="45"/>
        <v>220</v>
      </c>
      <c r="D118" s="167" t="s">
        <v>892</v>
      </c>
      <c r="E118" s="167">
        <v>50</v>
      </c>
      <c r="F118" s="167" t="str">
        <f>VLOOKUP(E118,'Bo phan'!$B$31:$D$39,2,0)</f>
        <v>Hà Nội</v>
      </c>
      <c r="G118" s="167" t="str">
        <f>VLOOKUP($E118,'Bo phan'!$B$31:$D$39,3,0)</f>
        <v>HNO</v>
      </c>
      <c r="H118" s="84" t="str">
        <f t="shared" si="46"/>
        <v>22050</v>
      </c>
      <c r="I118" s="85" t="str">
        <f t="shared" si="47"/>
        <v>HNO.Bộ phận Bảo trì - Kỹ thuật - Cơ điện</v>
      </c>
      <c r="J118" s="86"/>
      <c r="K118" s="86">
        <v>3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21.75" customHeight="1">
      <c r="A119" s="84"/>
      <c r="B119" s="85"/>
      <c r="C119" s="84">
        <f t="shared" si="45"/>
        <v>220</v>
      </c>
      <c r="D119" s="167" t="s">
        <v>892</v>
      </c>
      <c r="E119" s="167">
        <v>60</v>
      </c>
      <c r="F119" s="167" t="str">
        <f>VLOOKUP(E119,'Bo phan'!$B$31:$D$39,2,0)</f>
        <v>Cần Thơ</v>
      </c>
      <c r="G119" s="167" t="str">
        <f>VLOOKUP($E119,'Bo phan'!$B$31:$D$39,3,0)</f>
        <v>CTH</v>
      </c>
      <c r="H119" s="84" t="str">
        <f t="shared" si="46"/>
        <v>22060</v>
      </c>
      <c r="I119" s="85" t="str">
        <f t="shared" si="47"/>
        <v>CTH.Bộ phận Bảo trì - Kỹ thuật - Cơ điện</v>
      </c>
      <c r="J119" s="86"/>
      <c r="K119" s="86">
        <v>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21.75" customHeight="1">
      <c r="A120" s="81"/>
      <c r="B120" s="82"/>
      <c r="C120" s="241">
        <v>221</v>
      </c>
      <c r="D120" s="251" t="s">
        <v>893</v>
      </c>
      <c r="E120" s="81"/>
      <c r="F120" s="82"/>
      <c r="G120" s="82"/>
      <c r="H120" s="81" t="str">
        <f>C120&amp;"00"</f>
        <v>22100</v>
      </c>
      <c r="I120" s="82" t="str">
        <f>D120</f>
        <v>Bộ phận QA-QC-ATTP-LAB</v>
      </c>
      <c r="J120" s="83" t="s">
        <v>30</v>
      </c>
      <c r="K120" s="83">
        <v>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21.75" customHeight="1">
      <c r="A121" s="84"/>
      <c r="B121" s="85"/>
      <c r="C121" s="84">
        <f>$C$120</f>
        <v>221</v>
      </c>
      <c r="D121" s="167" t="s">
        <v>893</v>
      </c>
      <c r="E121" s="167">
        <v>10</v>
      </c>
      <c r="F121" s="167" t="str">
        <f>VLOOKUP($E121,'Bo phan'!$B$31:$D$39,2,0)</f>
        <v>Hồ Chí Minh</v>
      </c>
      <c r="G121" s="167" t="str">
        <f>VLOOKUP($E121,'Bo phan'!$B$31:$D$39,3,0)</f>
        <v>HCM</v>
      </c>
      <c r="H121" s="84" t="str">
        <f>C121&amp;E121</f>
        <v>22110</v>
      </c>
      <c r="I121" s="85" t="str">
        <f>G121&amp;"."&amp;D121</f>
        <v>HCM.Bộ phận QA-QC-ATTP-LAB</v>
      </c>
      <c r="J121" s="86"/>
      <c r="K121" s="86">
        <v>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21.75" customHeight="1">
      <c r="A122" s="84"/>
      <c r="B122" s="85"/>
      <c r="C122" s="84">
        <f t="shared" ref="C122:C126" si="48">$C$120</f>
        <v>221</v>
      </c>
      <c r="D122" s="167" t="s">
        <v>893</v>
      </c>
      <c r="E122" s="167">
        <v>20</v>
      </c>
      <c r="F122" s="167" t="str">
        <f>VLOOKUP(E122,'Bo phan'!$B$31:$D$39,2,0)</f>
        <v>Nha Trang</v>
      </c>
      <c r="G122" s="167" t="str">
        <f>VLOOKUP($E122,'Bo phan'!$B$31:$D$39,3,0)</f>
        <v>NTR</v>
      </c>
      <c r="H122" s="84" t="str">
        <f t="shared" ref="H122:H126" si="49">C122&amp;E122</f>
        <v>22120</v>
      </c>
      <c r="I122" s="85" t="str">
        <f t="shared" ref="I122:I126" si="50">G122&amp;"."&amp;D122</f>
        <v>NTR.Bộ phận QA-QC-ATTP-LAB</v>
      </c>
      <c r="J122" s="86"/>
      <c r="K122" s="86">
        <v>3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21.75" customHeight="1">
      <c r="A123" s="84"/>
      <c r="B123" s="85"/>
      <c r="C123" s="84">
        <f t="shared" si="48"/>
        <v>221</v>
      </c>
      <c r="D123" s="167" t="s">
        <v>893</v>
      </c>
      <c r="E123" s="167">
        <v>30</v>
      </c>
      <c r="F123" s="167" t="str">
        <f>VLOOKUP(E123,'Bo phan'!$B$31:$D$39,2,0)</f>
        <v>Đắc Lắc</v>
      </c>
      <c r="G123" s="167" t="str">
        <f>VLOOKUP($E123,'Bo phan'!$B$31:$D$39,3,0)</f>
        <v>DLA</v>
      </c>
      <c r="H123" s="84" t="str">
        <f t="shared" si="49"/>
        <v>22130</v>
      </c>
      <c r="I123" s="85" t="str">
        <f t="shared" si="50"/>
        <v>DLA.Bộ phận QA-QC-ATTP-LAB</v>
      </c>
      <c r="J123" s="86"/>
      <c r="K123" s="86">
        <v>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21.75" customHeight="1">
      <c r="A124" s="84"/>
      <c r="B124" s="85"/>
      <c r="C124" s="84">
        <f t="shared" si="48"/>
        <v>221</v>
      </c>
      <c r="D124" s="167" t="s">
        <v>893</v>
      </c>
      <c r="E124" s="167">
        <v>40</v>
      </c>
      <c r="F124" s="167" t="str">
        <f>VLOOKUP(E124,'Bo phan'!$B$31:$D$39,2,0)</f>
        <v>Đà Nẵng</v>
      </c>
      <c r="G124" s="167" t="str">
        <f>VLOOKUP($E124,'Bo phan'!$B$31:$D$39,3,0)</f>
        <v>DNG</v>
      </c>
      <c r="H124" s="84" t="str">
        <f t="shared" si="49"/>
        <v>22140</v>
      </c>
      <c r="I124" s="85" t="str">
        <f t="shared" si="50"/>
        <v>DNG.Bộ phận QA-QC-ATTP-LAB</v>
      </c>
      <c r="J124" s="86"/>
      <c r="K124" s="86">
        <v>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21.75" customHeight="1">
      <c r="A125" s="84"/>
      <c r="B125" s="85"/>
      <c r="C125" s="84">
        <f t="shared" si="48"/>
        <v>221</v>
      </c>
      <c r="D125" s="167" t="s">
        <v>893</v>
      </c>
      <c r="E125" s="167">
        <v>50</v>
      </c>
      <c r="F125" s="167" t="str">
        <f>VLOOKUP(E125,'Bo phan'!$B$31:$D$39,2,0)</f>
        <v>Hà Nội</v>
      </c>
      <c r="G125" s="167" t="str">
        <f>VLOOKUP($E125,'Bo phan'!$B$31:$D$39,3,0)</f>
        <v>HNO</v>
      </c>
      <c r="H125" s="84" t="str">
        <f t="shared" si="49"/>
        <v>22150</v>
      </c>
      <c r="I125" s="85" t="str">
        <f t="shared" si="50"/>
        <v>HNO.Bộ phận QA-QC-ATTP-LAB</v>
      </c>
      <c r="J125" s="86"/>
      <c r="K125" s="86">
        <v>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21.75" customHeight="1">
      <c r="A126" s="84"/>
      <c r="B126" s="85"/>
      <c r="C126" s="84">
        <f t="shared" si="48"/>
        <v>221</v>
      </c>
      <c r="D126" s="167" t="s">
        <v>893</v>
      </c>
      <c r="E126" s="167">
        <v>60</v>
      </c>
      <c r="F126" s="167" t="str">
        <f>VLOOKUP(E126,'Bo phan'!$B$31:$D$39,2,0)</f>
        <v>Cần Thơ</v>
      </c>
      <c r="G126" s="167" t="str">
        <f>VLOOKUP($E126,'Bo phan'!$B$31:$D$39,3,0)</f>
        <v>CTH</v>
      </c>
      <c r="H126" s="84" t="str">
        <f t="shared" si="49"/>
        <v>22160</v>
      </c>
      <c r="I126" s="85" t="str">
        <f t="shared" si="50"/>
        <v>CTH.Bộ phận QA-QC-ATTP-LAB</v>
      </c>
      <c r="J126" s="86"/>
      <c r="K126" s="86">
        <v>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21.75" customHeight="1">
      <c r="A127" s="81"/>
      <c r="B127" s="82"/>
      <c r="C127" s="241">
        <v>222</v>
      </c>
      <c r="D127" s="251" t="s">
        <v>894</v>
      </c>
      <c r="E127" s="81"/>
      <c r="F127" s="82"/>
      <c r="G127" s="82"/>
      <c r="H127" s="81" t="str">
        <f>C127&amp;"00"</f>
        <v>22200</v>
      </c>
      <c r="I127" s="82" t="str">
        <f>D127</f>
        <v>Bộ phận chung</v>
      </c>
      <c r="J127" s="83" t="s">
        <v>30</v>
      </c>
      <c r="K127" s="83">
        <v>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21.75" customHeight="1">
      <c r="A128" s="84"/>
      <c r="B128" s="85"/>
      <c r="C128" s="84">
        <f>$C$127</f>
        <v>222</v>
      </c>
      <c r="D128" s="167" t="s">
        <v>894</v>
      </c>
      <c r="E128" s="167">
        <v>10</v>
      </c>
      <c r="F128" s="167" t="str">
        <f>VLOOKUP($E128,'Bo phan'!$B$31:$D$39,2,0)</f>
        <v>Hồ Chí Minh</v>
      </c>
      <c r="G128" s="167" t="str">
        <f>VLOOKUP($E128,'Bo phan'!$B$31:$D$39,3,0)</f>
        <v>HCM</v>
      </c>
      <c r="H128" s="84" t="str">
        <f>C128&amp;E128</f>
        <v>22210</v>
      </c>
      <c r="I128" s="85" t="str">
        <f>G128&amp;"."&amp;D128</f>
        <v>HCM.Bộ phận chung</v>
      </c>
      <c r="J128" s="86"/>
      <c r="K128" s="86">
        <v>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21.75" customHeight="1">
      <c r="A129" s="84"/>
      <c r="B129" s="85"/>
      <c r="C129" s="84">
        <f t="shared" ref="C129:C133" si="51">$C$127</f>
        <v>222</v>
      </c>
      <c r="D129" s="167" t="s">
        <v>894</v>
      </c>
      <c r="E129" s="167">
        <v>20</v>
      </c>
      <c r="F129" s="167" t="str">
        <f>VLOOKUP(E129,'Bo phan'!$B$31:$D$39,2,0)</f>
        <v>Nha Trang</v>
      </c>
      <c r="G129" s="167" t="str">
        <f>VLOOKUP($E129,'Bo phan'!$B$31:$D$39,3,0)</f>
        <v>NTR</v>
      </c>
      <c r="H129" s="84" t="str">
        <f t="shared" ref="H129:H133" si="52">C129&amp;E129</f>
        <v>22220</v>
      </c>
      <c r="I129" s="85" t="str">
        <f t="shared" ref="I129:I133" si="53">G129&amp;"."&amp;D129</f>
        <v>NTR.Bộ phận chung</v>
      </c>
      <c r="J129" s="86"/>
      <c r="K129" s="86">
        <v>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21.75" customHeight="1">
      <c r="A130" s="84"/>
      <c r="B130" s="85"/>
      <c r="C130" s="84">
        <f t="shared" si="51"/>
        <v>222</v>
      </c>
      <c r="D130" s="167" t="s">
        <v>894</v>
      </c>
      <c r="E130" s="167">
        <v>30</v>
      </c>
      <c r="F130" s="167" t="str">
        <f>VLOOKUP(E130,'Bo phan'!$B$31:$D$39,2,0)</f>
        <v>Đắc Lắc</v>
      </c>
      <c r="G130" s="167" t="str">
        <f>VLOOKUP($E130,'Bo phan'!$B$31:$D$39,3,0)</f>
        <v>DLA</v>
      </c>
      <c r="H130" s="84" t="str">
        <f t="shared" si="52"/>
        <v>22230</v>
      </c>
      <c r="I130" s="85" t="str">
        <f t="shared" si="53"/>
        <v>DLA.Bộ phận chung</v>
      </c>
      <c r="J130" s="86"/>
      <c r="K130" s="86">
        <v>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21.75" customHeight="1">
      <c r="A131" s="84"/>
      <c r="B131" s="85"/>
      <c r="C131" s="84">
        <f t="shared" si="51"/>
        <v>222</v>
      </c>
      <c r="D131" s="167" t="s">
        <v>894</v>
      </c>
      <c r="E131" s="167">
        <v>40</v>
      </c>
      <c r="F131" s="167" t="str">
        <f>VLOOKUP(E131,'Bo phan'!$B$31:$D$39,2,0)</f>
        <v>Đà Nẵng</v>
      </c>
      <c r="G131" s="167" t="str">
        <f>VLOOKUP($E131,'Bo phan'!$B$31:$D$39,3,0)</f>
        <v>DNG</v>
      </c>
      <c r="H131" s="84" t="str">
        <f t="shared" si="52"/>
        <v>22240</v>
      </c>
      <c r="I131" s="85" t="str">
        <f t="shared" si="53"/>
        <v>DNG.Bộ phận chung</v>
      </c>
      <c r="J131" s="86"/>
      <c r="K131" s="86">
        <v>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21.75" customHeight="1">
      <c r="A132" s="84"/>
      <c r="B132" s="85"/>
      <c r="C132" s="84">
        <f t="shared" si="51"/>
        <v>222</v>
      </c>
      <c r="D132" s="167" t="s">
        <v>894</v>
      </c>
      <c r="E132" s="167">
        <v>50</v>
      </c>
      <c r="F132" s="167" t="str">
        <f>VLOOKUP(E132,'Bo phan'!$B$31:$D$39,2,0)</f>
        <v>Hà Nội</v>
      </c>
      <c r="G132" s="167" t="str">
        <f>VLOOKUP($E132,'Bo phan'!$B$31:$D$39,3,0)</f>
        <v>HNO</v>
      </c>
      <c r="H132" s="84" t="str">
        <f t="shared" si="52"/>
        <v>22250</v>
      </c>
      <c r="I132" s="85" t="str">
        <f t="shared" si="53"/>
        <v>HNO.Bộ phận chung</v>
      </c>
      <c r="J132" s="86"/>
      <c r="K132" s="86">
        <v>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21.75" customHeight="1">
      <c r="A133" s="84"/>
      <c r="B133" s="85"/>
      <c r="C133" s="84">
        <f t="shared" si="51"/>
        <v>222</v>
      </c>
      <c r="D133" s="167" t="s">
        <v>894</v>
      </c>
      <c r="E133" s="167">
        <v>60</v>
      </c>
      <c r="F133" s="167" t="str">
        <f>VLOOKUP(E133,'Bo phan'!$B$31:$D$39,2,0)</f>
        <v>Cần Thơ</v>
      </c>
      <c r="G133" s="167" t="str">
        <f>VLOOKUP($E133,'Bo phan'!$B$31:$D$39,3,0)</f>
        <v>CTH</v>
      </c>
      <c r="H133" s="84" t="str">
        <f t="shared" si="52"/>
        <v>22260</v>
      </c>
      <c r="I133" s="85" t="str">
        <f t="shared" si="53"/>
        <v>CTH.Bộ phận chung</v>
      </c>
      <c r="J133" s="86"/>
      <c r="K133" s="86">
        <v>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21.75" customHeight="1">
      <c r="A134" s="84"/>
      <c r="B134" s="85"/>
      <c r="C134" s="84"/>
      <c r="D134" s="167"/>
      <c r="E134" s="167"/>
      <c r="F134" s="167"/>
      <c r="G134" s="167"/>
      <c r="H134" s="84"/>
      <c r="I134" s="85"/>
      <c r="J134" s="86"/>
      <c r="K134" s="86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21.75" customHeight="1">
      <c r="A135" s="84"/>
      <c r="B135" s="85"/>
      <c r="C135" s="84"/>
      <c r="D135" s="167"/>
      <c r="E135" s="167"/>
      <c r="F135" s="167"/>
      <c r="G135" s="167"/>
      <c r="H135" s="84"/>
      <c r="I135" s="85"/>
      <c r="J135" s="86"/>
      <c r="K135" s="86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3.5" customHeight="1">
      <c r="H136" s="11"/>
      <c r="I136" s="1"/>
      <c r="J136" s="7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3.5" customHeight="1">
      <c r="H137" s="11"/>
      <c r="I137" s="1"/>
      <c r="J137" s="7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3.5" customHeight="1">
      <c r="H138" s="11"/>
      <c r="I138" s="1"/>
      <c r="J138" s="7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3.5" customHeight="1">
      <c r="H139" s="11"/>
      <c r="I139" s="1"/>
      <c r="J139" s="7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3.5" customHeight="1">
      <c r="H140" s="11"/>
      <c r="I140" s="1"/>
      <c r="J140" s="7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3.5" customHeight="1">
      <c r="H141" s="11"/>
      <c r="I141" s="1"/>
      <c r="J141" s="7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3.5" customHeight="1">
      <c r="H142" s="11"/>
      <c r="I142" s="1"/>
      <c r="J142" s="7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3.5" customHeight="1">
      <c r="H143" s="11"/>
      <c r="I143" s="1"/>
      <c r="J143" s="7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3.5" customHeight="1">
      <c r="H144" s="11"/>
      <c r="I144" s="1"/>
      <c r="J144" s="7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8:30" ht="13.5" customHeight="1">
      <c r="H145" s="11"/>
      <c r="I145" s="1"/>
      <c r="J145" s="7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8:30" ht="13.5" customHeight="1">
      <c r="H146" s="11"/>
      <c r="I146" s="1"/>
      <c r="J146" s="7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8:30" ht="13.5" customHeight="1">
      <c r="H147" s="11"/>
      <c r="I147" s="1"/>
      <c r="J147" s="7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8:30" ht="13.5" customHeight="1">
      <c r="H148" s="11"/>
      <c r="I148" s="1"/>
      <c r="J148" s="7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8:30" ht="13.5" customHeight="1">
      <c r="H149" s="11"/>
      <c r="I149" s="1"/>
      <c r="J149" s="7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8:30" ht="13.5" customHeight="1">
      <c r="H150" s="11"/>
      <c r="I150" s="1"/>
      <c r="J150" s="7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8:30" ht="13.5" customHeight="1">
      <c r="H151" s="11"/>
      <c r="I151" s="1"/>
      <c r="J151" s="7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8:30" ht="13.5" customHeight="1">
      <c r="H152" s="11"/>
      <c r="I152" s="1"/>
      <c r="J152" s="7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8:30" ht="13.5" customHeight="1">
      <c r="H153" s="11"/>
      <c r="I153" s="1"/>
      <c r="J153" s="7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8:30" ht="13.5" customHeight="1">
      <c r="H154" s="11"/>
      <c r="I154" s="1"/>
      <c r="J154" s="7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8:30" ht="13.5" customHeight="1">
      <c r="H155" s="11"/>
      <c r="I155" s="1"/>
      <c r="J155" s="7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8:30" ht="13.5" customHeight="1">
      <c r="H156" s="11"/>
      <c r="I156" s="1"/>
      <c r="J156" s="7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8:30" ht="13.5" customHeight="1">
      <c r="H157" s="11"/>
      <c r="I157" s="1"/>
      <c r="J157" s="7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8:30" ht="13.5" customHeight="1">
      <c r="H158" s="11"/>
      <c r="I158" s="1"/>
      <c r="J158" s="7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8:30" ht="13.5" customHeight="1">
      <c r="H159" s="11"/>
      <c r="I159" s="1"/>
      <c r="J159" s="7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8:30" ht="13.5" customHeight="1">
      <c r="H160" s="11"/>
      <c r="I160" s="1"/>
      <c r="J160" s="7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8:30" ht="13.5" customHeight="1">
      <c r="H161" s="11"/>
      <c r="I161" s="1"/>
      <c r="J161" s="7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8:30" ht="13.5" customHeight="1">
      <c r="H162" s="11"/>
      <c r="I162" s="1"/>
      <c r="J162" s="7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8:30" ht="13.5" customHeight="1">
      <c r="H163" s="11"/>
      <c r="I163" s="1"/>
      <c r="J163" s="7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8:30" ht="13.5" customHeight="1">
      <c r="H164" s="11"/>
      <c r="I164" s="1"/>
      <c r="J164" s="7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8:30" ht="13.5" customHeight="1">
      <c r="H165" s="11"/>
      <c r="I165" s="1"/>
      <c r="J165" s="7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8:30" ht="13.5" customHeight="1">
      <c r="H166" s="11"/>
      <c r="I166" s="1"/>
      <c r="J166" s="7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8:30" ht="13.5" customHeight="1">
      <c r="H167" s="11"/>
      <c r="I167" s="1"/>
      <c r="J167" s="7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8:30" ht="13.5" customHeight="1">
      <c r="H168" s="11"/>
      <c r="I168" s="1"/>
      <c r="J168" s="7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8:30" ht="13.5" customHeight="1">
      <c r="H169" s="11"/>
      <c r="I169" s="1"/>
      <c r="J169" s="7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8:30" ht="13.5" customHeight="1">
      <c r="H170" s="11"/>
      <c r="I170" s="1"/>
      <c r="J170" s="7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8:30" ht="13.5" customHeight="1">
      <c r="H171" s="11"/>
      <c r="I171" s="1"/>
      <c r="J171" s="7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8:30" ht="13.5" customHeight="1">
      <c r="H172" s="11"/>
      <c r="I172" s="1"/>
      <c r="J172" s="7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8:30" ht="13.5" customHeight="1">
      <c r="H173" s="11"/>
      <c r="I173" s="1"/>
      <c r="J173" s="7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8:30" ht="13.5" customHeight="1">
      <c r="H174" s="11"/>
      <c r="I174" s="1"/>
      <c r="J174" s="7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8:30" ht="13.5" customHeight="1">
      <c r="H175" s="11"/>
      <c r="I175" s="1"/>
      <c r="J175" s="7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8:30" ht="13.5" customHeight="1">
      <c r="H176" s="11"/>
      <c r="I176" s="1"/>
      <c r="J176" s="7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8:30" ht="13.5" customHeight="1">
      <c r="H177" s="11"/>
      <c r="I177" s="1"/>
      <c r="J177" s="7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8:30" ht="13.5" customHeight="1">
      <c r="H178" s="11"/>
      <c r="I178" s="1"/>
      <c r="J178" s="7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8:30" ht="13.5" customHeight="1">
      <c r="H179" s="11"/>
      <c r="I179" s="1"/>
      <c r="J179" s="7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8:30" ht="13.5" customHeight="1">
      <c r="H180" s="11"/>
      <c r="I180" s="1"/>
      <c r="J180" s="7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8:30" ht="13.5" customHeight="1">
      <c r="H181" s="11"/>
      <c r="I181" s="1"/>
      <c r="J181" s="7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8:30" ht="13.5" customHeight="1">
      <c r="H182" s="11"/>
      <c r="I182" s="1"/>
      <c r="J182" s="7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8:30" ht="13.5" customHeight="1">
      <c r="H183" s="11"/>
      <c r="I183" s="1"/>
      <c r="J183" s="7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8:30" ht="13.5" customHeight="1">
      <c r="H184" s="11"/>
      <c r="I184" s="1"/>
      <c r="J184" s="7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8:30" ht="13.5" customHeight="1">
      <c r="H185" s="11"/>
      <c r="I185" s="1"/>
      <c r="J185" s="7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8:30" ht="13.5" customHeight="1">
      <c r="H186" s="11"/>
      <c r="I186" s="1"/>
      <c r="J186" s="7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8:30" ht="13.5" customHeight="1">
      <c r="H187" s="11"/>
      <c r="I187" s="1"/>
      <c r="J187" s="7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8:30" ht="13.5" customHeight="1">
      <c r="H188" s="11"/>
      <c r="I188" s="1"/>
      <c r="J188" s="7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8:30" ht="13.5" customHeight="1">
      <c r="H189" s="11"/>
      <c r="I189" s="1"/>
      <c r="J189" s="7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8:30" ht="13.5" customHeight="1">
      <c r="H190" s="11"/>
      <c r="I190" s="1"/>
      <c r="J190" s="7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8:30" ht="13.5" customHeight="1">
      <c r="H191" s="11"/>
      <c r="I191" s="1"/>
      <c r="J191" s="7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8:30" ht="13.5" customHeight="1">
      <c r="H192" s="11"/>
      <c r="I192" s="1"/>
      <c r="J192" s="7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8:30" ht="13.5" customHeight="1">
      <c r="H193" s="11"/>
      <c r="I193" s="1"/>
      <c r="J193" s="7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8:30" ht="13.5" customHeight="1">
      <c r="H194" s="11"/>
      <c r="I194" s="1"/>
      <c r="J194" s="7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8:30" ht="13.5" customHeight="1">
      <c r="H195" s="11"/>
      <c r="I195" s="1"/>
      <c r="J195" s="7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8:30" ht="13.5" customHeight="1">
      <c r="H196" s="11"/>
      <c r="I196" s="1"/>
      <c r="J196" s="7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8:30" ht="13.5" customHeight="1">
      <c r="H197" s="11"/>
      <c r="I197" s="1"/>
      <c r="J197" s="7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8:30" ht="13.5" customHeight="1">
      <c r="H198" s="11"/>
      <c r="I198" s="1"/>
      <c r="J198" s="7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8:30" ht="13.5" customHeight="1">
      <c r="H199" s="11"/>
      <c r="I199" s="1"/>
      <c r="J199" s="7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8:30" ht="13.5" customHeight="1">
      <c r="H200" s="11"/>
      <c r="I200" s="1"/>
      <c r="J200" s="7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8:30" ht="13.5" customHeight="1">
      <c r="H201" s="11"/>
      <c r="I201" s="1"/>
      <c r="J201" s="7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8:30" ht="13.5" customHeight="1">
      <c r="H202" s="11"/>
      <c r="I202" s="1"/>
      <c r="J202" s="7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8:30" ht="13.5" customHeight="1">
      <c r="H203" s="11"/>
      <c r="I203" s="1"/>
      <c r="J203" s="7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8:30" ht="13.5" customHeight="1">
      <c r="H204" s="11"/>
      <c r="I204" s="1"/>
      <c r="J204" s="7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8:30" ht="13.5" customHeight="1">
      <c r="H205" s="11"/>
      <c r="I205" s="1"/>
      <c r="J205" s="7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8:30" ht="13.5" customHeight="1">
      <c r="H206" s="11"/>
      <c r="I206" s="1"/>
      <c r="J206" s="7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8:30" ht="13.5" customHeight="1">
      <c r="H207" s="11"/>
      <c r="I207" s="1"/>
      <c r="J207" s="7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8:30" ht="13.5" customHeight="1">
      <c r="H208" s="11"/>
      <c r="I208" s="1"/>
      <c r="J208" s="7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8:30" ht="13.5" customHeight="1">
      <c r="H209" s="11"/>
      <c r="I209" s="1"/>
      <c r="J209" s="7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8:30" ht="13.5" customHeight="1">
      <c r="H210" s="11"/>
      <c r="I210" s="1"/>
      <c r="J210" s="7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8:30" ht="13.5" customHeight="1">
      <c r="H211" s="11"/>
      <c r="I211" s="1"/>
      <c r="J211" s="7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8:30" ht="13.5" customHeight="1">
      <c r="H212" s="11"/>
      <c r="I212" s="1"/>
      <c r="J212" s="7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8:30" ht="13.5" customHeight="1">
      <c r="H213" s="11"/>
      <c r="I213" s="1"/>
      <c r="J213" s="7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8:30" ht="13.5" customHeight="1">
      <c r="H214" s="11"/>
      <c r="I214" s="1"/>
      <c r="J214" s="7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8:30" ht="13.5" customHeight="1">
      <c r="H215" s="11"/>
      <c r="I215" s="1"/>
      <c r="J215" s="7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8:30" ht="13.5" customHeight="1">
      <c r="H216" s="11"/>
      <c r="I216" s="1"/>
      <c r="J216" s="7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8:30" ht="13.5" customHeight="1">
      <c r="H217" s="11"/>
      <c r="I217" s="1"/>
      <c r="J217" s="7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8:30" ht="13.5" customHeight="1">
      <c r="H218" s="11"/>
      <c r="I218" s="1"/>
      <c r="J218" s="7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8:30" ht="13.5" customHeight="1">
      <c r="H219" s="11"/>
      <c r="I219" s="1"/>
      <c r="J219" s="7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8:30" ht="13.5" customHeight="1">
      <c r="H220" s="11"/>
      <c r="I220" s="1"/>
      <c r="J220" s="7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8:30" ht="13.5" customHeight="1">
      <c r="H221" s="11"/>
      <c r="I221" s="1"/>
      <c r="J221" s="7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8:30" ht="13.5" customHeight="1">
      <c r="H222" s="11"/>
      <c r="I222" s="1"/>
      <c r="J222" s="7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8:30" ht="13.5" customHeight="1">
      <c r="H223" s="11"/>
      <c r="I223" s="1"/>
      <c r="J223" s="7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8:30" ht="13.5" customHeight="1">
      <c r="H224" s="11"/>
      <c r="I224" s="1"/>
      <c r="J224" s="7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8:30" ht="13.5" customHeight="1">
      <c r="H225" s="11"/>
      <c r="I225" s="1"/>
      <c r="J225" s="7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8:30" ht="13.5" customHeight="1">
      <c r="H226" s="11"/>
      <c r="I226" s="1"/>
      <c r="J226" s="7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8:30" ht="13.5" customHeight="1">
      <c r="H227" s="11"/>
      <c r="I227" s="1"/>
      <c r="J227" s="7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8:30" ht="13.5" customHeight="1">
      <c r="H228" s="11"/>
      <c r="I228" s="1"/>
      <c r="J228" s="7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8:30" ht="13.5" customHeight="1">
      <c r="H229" s="11"/>
      <c r="I229" s="1"/>
      <c r="J229" s="7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8:30" ht="13.5" customHeight="1">
      <c r="H230" s="11"/>
      <c r="I230" s="1"/>
      <c r="J230" s="7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8:30" ht="13.5" customHeight="1">
      <c r="H231" s="11"/>
      <c r="I231" s="1"/>
      <c r="J231" s="7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8:30" ht="13.5" customHeight="1">
      <c r="H232" s="11"/>
      <c r="I232" s="1"/>
      <c r="J232" s="7"/>
      <c r="K232" s="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8:30" ht="13.5" customHeight="1">
      <c r="H233" s="11"/>
      <c r="I233" s="1"/>
      <c r="J233" s="7"/>
      <c r="K233" s="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8:30" ht="13.5" customHeight="1">
      <c r="H234" s="11"/>
      <c r="I234" s="1"/>
      <c r="J234" s="7"/>
      <c r="K234" s="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8:30" ht="13.5" customHeight="1">
      <c r="H235" s="11"/>
      <c r="I235" s="1"/>
      <c r="J235" s="7"/>
      <c r="K235" s="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8:30" ht="13.5" customHeight="1">
      <c r="H236" s="11"/>
      <c r="I236" s="1"/>
      <c r="J236" s="7"/>
      <c r="K236" s="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8:30" ht="13.5" customHeight="1">
      <c r="H237" s="11"/>
      <c r="I237" s="1"/>
      <c r="J237" s="7"/>
      <c r="K237" s="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8:30" ht="13.5" customHeight="1">
      <c r="H238" s="11"/>
      <c r="I238" s="1"/>
      <c r="J238" s="7"/>
      <c r="K238" s="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8:30" ht="13.5" customHeight="1">
      <c r="H239" s="11"/>
      <c r="I239" s="1"/>
      <c r="J239" s="7"/>
      <c r="K239" s="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8:30" ht="13.5" customHeight="1">
      <c r="H240" s="11"/>
      <c r="I240" s="1"/>
      <c r="J240" s="7"/>
      <c r="K240" s="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8:30" ht="13.5" customHeight="1">
      <c r="H241" s="11"/>
      <c r="I241" s="1"/>
      <c r="J241" s="7"/>
      <c r="K241" s="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8:30" ht="13.5" customHeight="1">
      <c r="H242" s="11"/>
      <c r="I242" s="1"/>
      <c r="J242" s="7"/>
      <c r="K242" s="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8:30" ht="13.5" customHeight="1">
      <c r="H243" s="11"/>
      <c r="I243" s="1"/>
      <c r="J243" s="7"/>
      <c r="K243" s="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8:30" ht="13.5" customHeight="1">
      <c r="H244" s="11"/>
      <c r="I244" s="1"/>
      <c r="J244" s="7"/>
      <c r="K244" s="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8:30" ht="13.5" customHeight="1">
      <c r="H245" s="11"/>
      <c r="I245" s="1"/>
      <c r="J245" s="7"/>
      <c r="K245" s="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8:30" ht="13.5" customHeight="1">
      <c r="H246" s="11"/>
      <c r="I246" s="1"/>
      <c r="J246" s="7"/>
      <c r="K246" s="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8:30" ht="13.5" customHeight="1">
      <c r="H247" s="11"/>
      <c r="I247" s="1"/>
      <c r="J247" s="7"/>
      <c r="K247" s="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8:30" ht="13.5" customHeight="1">
      <c r="H248" s="11"/>
      <c r="I248" s="1"/>
      <c r="J248" s="7"/>
      <c r="K248" s="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8:30" ht="13.5" customHeight="1">
      <c r="H249" s="11"/>
      <c r="I249" s="1"/>
      <c r="J249" s="7"/>
      <c r="K249" s="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8:30" ht="13.5" customHeight="1">
      <c r="H250" s="11"/>
      <c r="I250" s="1"/>
      <c r="J250" s="7"/>
      <c r="K250" s="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8:30" ht="13.5" customHeight="1">
      <c r="H251" s="11"/>
      <c r="I251" s="1"/>
      <c r="J251" s="7"/>
      <c r="K251" s="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8:30" ht="13.5" customHeight="1">
      <c r="H252" s="11"/>
      <c r="I252" s="1"/>
      <c r="J252" s="7"/>
      <c r="K252" s="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8:30" ht="13.5" customHeight="1">
      <c r="H253" s="11"/>
      <c r="I253" s="1"/>
      <c r="J253" s="7"/>
      <c r="K253" s="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8:30" ht="13.5" customHeight="1">
      <c r="H254" s="11"/>
      <c r="I254" s="1"/>
      <c r="J254" s="7"/>
      <c r="K254" s="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8:30" ht="13.5" customHeight="1">
      <c r="H255" s="11"/>
      <c r="I255" s="1"/>
      <c r="J255" s="7"/>
      <c r="K255" s="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8:30" ht="13.5" customHeight="1">
      <c r="H256" s="11"/>
      <c r="I256" s="1"/>
      <c r="J256" s="7"/>
      <c r="K256" s="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8:30" ht="13.5" customHeight="1">
      <c r="H257" s="11"/>
      <c r="I257" s="1"/>
      <c r="J257" s="7"/>
      <c r="K257" s="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8:30" ht="13.5" customHeight="1">
      <c r="H258" s="11"/>
      <c r="I258" s="1"/>
      <c r="J258" s="7"/>
      <c r="K258" s="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8:30" ht="13.5" customHeight="1">
      <c r="H259" s="11"/>
      <c r="I259" s="1"/>
      <c r="J259" s="7"/>
      <c r="K259" s="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8:30" ht="13.5" customHeight="1">
      <c r="H260" s="11"/>
      <c r="I260" s="1"/>
      <c r="J260" s="7"/>
      <c r="K260" s="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8:30" ht="13.5" customHeight="1">
      <c r="H261" s="11"/>
      <c r="I261" s="1"/>
      <c r="J261" s="7"/>
      <c r="K261" s="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8:30" ht="13.5" customHeight="1">
      <c r="H262" s="11"/>
      <c r="I262" s="1"/>
      <c r="J262" s="7"/>
      <c r="K262" s="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8:30" ht="13.5" customHeight="1">
      <c r="H263" s="11"/>
      <c r="I263" s="1"/>
      <c r="J263" s="7"/>
      <c r="K263" s="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8:30" ht="13.5" customHeight="1">
      <c r="H264" s="11"/>
      <c r="I264" s="1"/>
      <c r="J264" s="7"/>
      <c r="K264" s="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8:30" ht="13.5" customHeight="1">
      <c r="H265" s="11"/>
      <c r="I265" s="1"/>
      <c r="J265" s="7"/>
      <c r="K265" s="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8:30" ht="13.5" customHeight="1">
      <c r="H266" s="11"/>
      <c r="I266" s="1"/>
      <c r="J266" s="7"/>
      <c r="K266" s="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8:30" ht="13.5" customHeight="1">
      <c r="H267" s="11"/>
      <c r="I267" s="1"/>
      <c r="J267" s="7"/>
      <c r="K267" s="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8:30" ht="13.5" customHeight="1">
      <c r="H268" s="11"/>
      <c r="I268" s="1"/>
      <c r="J268" s="7"/>
      <c r="K268" s="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8:30" ht="13.5" customHeight="1">
      <c r="H269" s="11"/>
      <c r="I269" s="1"/>
      <c r="J269" s="7"/>
      <c r="K269" s="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8:30" ht="13.5" customHeight="1">
      <c r="H270" s="11"/>
      <c r="I270" s="1"/>
      <c r="J270" s="7"/>
      <c r="K270" s="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8:30" ht="13.5" customHeight="1">
      <c r="H271" s="11"/>
      <c r="I271" s="1"/>
      <c r="J271" s="7"/>
      <c r="K271" s="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8:30" ht="13.5" customHeight="1">
      <c r="H272" s="11"/>
      <c r="I272" s="1"/>
      <c r="J272" s="7"/>
      <c r="K272" s="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8:30" ht="13.5" customHeight="1">
      <c r="H273" s="11"/>
      <c r="I273" s="1"/>
      <c r="J273" s="7"/>
      <c r="K273" s="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8:30" ht="13.5" customHeight="1">
      <c r="H274" s="11"/>
      <c r="I274" s="1"/>
      <c r="J274" s="7"/>
      <c r="K274" s="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8:30" ht="13.5" customHeight="1">
      <c r="H275" s="11"/>
      <c r="I275" s="1"/>
      <c r="J275" s="7"/>
      <c r="K275" s="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8:30" ht="13.5" customHeight="1">
      <c r="H276" s="11"/>
      <c r="I276" s="1"/>
      <c r="J276" s="7"/>
      <c r="K276" s="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8:30" ht="13.5" customHeight="1">
      <c r="H277" s="11"/>
      <c r="I277" s="1"/>
      <c r="J277" s="7"/>
      <c r="K277" s="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8:30" ht="13.5" customHeight="1">
      <c r="H278" s="11"/>
      <c r="I278" s="1"/>
      <c r="J278" s="7"/>
      <c r="K278" s="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8:30" ht="13.5" customHeight="1">
      <c r="H279" s="11"/>
      <c r="I279" s="1"/>
      <c r="J279" s="7"/>
      <c r="K279" s="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8:30" ht="13.5" customHeight="1">
      <c r="H280" s="11"/>
      <c r="I280" s="1"/>
      <c r="J280" s="7"/>
      <c r="K280" s="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8:30" ht="13.5" customHeight="1">
      <c r="H281" s="11"/>
      <c r="I281" s="1"/>
      <c r="J281" s="7"/>
      <c r="K281" s="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8:30" ht="13.5" customHeight="1">
      <c r="H282" s="11"/>
      <c r="I282" s="1"/>
      <c r="J282" s="7"/>
      <c r="K282" s="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8:30" ht="13.5" customHeight="1">
      <c r="H283" s="11"/>
      <c r="I283" s="1"/>
      <c r="J283" s="7"/>
      <c r="K283" s="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8:30" ht="13.5" customHeight="1">
      <c r="H284" s="11"/>
      <c r="I284" s="1"/>
      <c r="J284" s="7"/>
      <c r="K284" s="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8:30" ht="13.5" customHeight="1">
      <c r="H285" s="11"/>
      <c r="I285" s="1"/>
      <c r="J285" s="7"/>
      <c r="K285" s="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8:30" ht="13.5" customHeight="1">
      <c r="H286" s="11"/>
      <c r="I286" s="1"/>
      <c r="J286" s="7"/>
      <c r="K286" s="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8:30" ht="13.5" customHeight="1">
      <c r="H287" s="11"/>
      <c r="I287" s="1"/>
      <c r="J287" s="7"/>
      <c r="K287" s="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8:30" ht="13.5" customHeight="1">
      <c r="H288" s="11"/>
      <c r="I288" s="1"/>
      <c r="J288" s="7"/>
      <c r="K288" s="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8:30" ht="13.5" customHeight="1">
      <c r="H289" s="11"/>
      <c r="I289" s="1"/>
      <c r="J289" s="7"/>
      <c r="K289" s="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8:30" ht="13.5" customHeight="1">
      <c r="H290" s="11"/>
      <c r="I290" s="1"/>
      <c r="J290" s="7"/>
      <c r="K290" s="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8:30" ht="13.5" customHeight="1">
      <c r="H291" s="11"/>
      <c r="I291" s="1"/>
      <c r="J291" s="7"/>
      <c r="K291" s="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8:30" ht="13.5" customHeight="1">
      <c r="H292" s="11"/>
      <c r="I292" s="1"/>
      <c r="J292" s="7"/>
      <c r="K292" s="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8:30" ht="13.5" customHeight="1">
      <c r="H293" s="11"/>
      <c r="I293" s="1"/>
      <c r="J293" s="7"/>
      <c r="K293" s="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8:30" ht="13.5" customHeight="1">
      <c r="H294" s="11"/>
      <c r="I294" s="1"/>
      <c r="J294" s="7"/>
      <c r="K294" s="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8:30" ht="13.5" customHeight="1">
      <c r="H295" s="11"/>
      <c r="I295" s="1"/>
      <c r="J295" s="7"/>
      <c r="K295" s="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8:30" ht="13.5" customHeight="1">
      <c r="H296" s="11"/>
      <c r="I296" s="1"/>
      <c r="J296" s="7"/>
      <c r="K296" s="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8:30" ht="13.5" customHeight="1">
      <c r="H297" s="11"/>
      <c r="I297" s="1"/>
      <c r="J297" s="7"/>
      <c r="K297" s="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8:30" ht="13.5" customHeight="1">
      <c r="H298" s="11"/>
      <c r="I298" s="1"/>
      <c r="J298" s="7"/>
      <c r="K298" s="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8:30" ht="13.5" customHeight="1">
      <c r="H299" s="11"/>
      <c r="I299" s="1"/>
      <c r="J299" s="7"/>
      <c r="K299" s="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8:30" ht="13.5" customHeight="1">
      <c r="H300" s="11"/>
      <c r="I300" s="1"/>
      <c r="J300" s="7"/>
      <c r="K300" s="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8:30" ht="13.5" customHeight="1">
      <c r="H301" s="11"/>
      <c r="I301" s="1"/>
      <c r="J301" s="7"/>
      <c r="K301" s="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8:30" ht="13.5" customHeight="1">
      <c r="H302" s="11"/>
      <c r="I302" s="1"/>
      <c r="J302" s="7"/>
      <c r="K302" s="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8:30" ht="13.5" customHeight="1">
      <c r="H303" s="11"/>
      <c r="I303" s="1"/>
      <c r="J303" s="7"/>
      <c r="K303" s="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8:30" ht="13.5" customHeight="1">
      <c r="H304" s="11"/>
      <c r="I304" s="1"/>
      <c r="J304" s="7"/>
      <c r="K304" s="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8:30" ht="13.5" customHeight="1">
      <c r="H305" s="11"/>
      <c r="I305" s="1"/>
      <c r="J305" s="7"/>
      <c r="K305" s="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8:30" ht="13.5" customHeight="1">
      <c r="H306" s="11"/>
      <c r="I306" s="1"/>
      <c r="J306" s="7"/>
      <c r="K306" s="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8:30" ht="13.5" customHeight="1">
      <c r="H307" s="11"/>
      <c r="I307" s="1"/>
      <c r="J307" s="7"/>
      <c r="K307" s="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8:30" ht="13.5" customHeight="1">
      <c r="H308" s="11"/>
      <c r="I308" s="1"/>
      <c r="J308" s="7"/>
      <c r="K308" s="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8:30" ht="13.5" customHeight="1">
      <c r="H309" s="11"/>
      <c r="I309" s="1"/>
      <c r="J309" s="7"/>
      <c r="K309" s="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8:30" ht="13.5" customHeight="1">
      <c r="H310" s="11"/>
      <c r="I310" s="1"/>
      <c r="J310" s="7"/>
      <c r="K310" s="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8:30" ht="13.5" customHeight="1">
      <c r="H311" s="11"/>
      <c r="I311" s="1"/>
      <c r="J311" s="7"/>
      <c r="K311" s="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8:30" ht="13.5" customHeight="1">
      <c r="H312" s="11"/>
      <c r="I312" s="1"/>
      <c r="J312" s="7"/>
      <c r="K312" s="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8:30" ht="13.5" customHeight="1">
      <c r="H313" s="11"/>
      <c r="I313" s="1"/>
      <c r="J313" s="7"/>
      <c r="K313" s="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8:30" ht="13.5" customHeight="1">
      <c r="H314" s="11"/>
      <c r="I314" s="1"/>
      <c r="J314" s="7"/>
      <c r="K314" s="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8:30" ht="13.5" customHeight="1">
      <c r="H315" s="11"/>
      <c r="I315" s="1"/>
      <c r="J315" s="7"/>
      <c r="K315" s="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8:30" ht="13.5" customHeight="1">
      <c r="H316" s="11"/>
      <c r="I316" s="1"/>
      <c r="J316" s="7"/>
      <c r="K316" s="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8:30" ht="13.5" customHeight="1">
      <c r="H317" s="11"/>
      <c r="I317" s="1"/>
      <c r="J317" s="7"/>
      <c r="K317" s="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8:30" ht="13.5" customHeight="1">
      <c r="H318" s="11"/>
      <c r="I318" s="1"/>
      <c r="J318" s="7"/>
      <c r="K318" s="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8:30" ht="13.5" customHeight="1">
      <c r="H319" s="11"/>
      <c r="I319" s="1"/>
      <c r="J319" s="7"/>
      <c r="K319" s="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8:30" ht="13.5" customHeight="1">
      <c r="H320" s="11"/>
      <c r="I320" s="1"/>
      <c r="J320" s="7"/>
      <c r="K320" s="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8:30" ht="13.5" customHeight="1">
      <c r="H321" s="11"/>
      <c r="I321" s="1"/>
      <c r="J321" s="7"/>
      <c r="K321" s="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8:30" ht="13.5" customHeight="1">
      <c r="H322" s="11"/>
      <c r="I322" s="1"/>
      <c r="J322" s="7"/>
      <c r="K322" s="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8:30" ht="13.5" customHeight="1">
      <c r="H323" s="11"/>
      <c r="I323" s="1"/>
      <c r="J323" s="7"/>
      <c r="K323" s="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8:30" ht="13.5" customHeight="1">
      <c r="H324" s="11"/>
      <c r="I324" s="1"/>
      <c r="J324" s="7"/>
      <c r="K324" s="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8:30" ht="13.5" customHeight="1">
      <c r="H325" s="11"/>
      <c r="I325" s="1"/>
      <c r="J325" s="7"/>
      <c r="K325" s="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8:30" ht="13.5" customHeight="1">
      <c r="H326" s="11"/>
      <c r="I326" s="1"/>
      <c r="J326" s="7"/>
      <c r="K326" s="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8:30" ht="13.5" customHeight="1">
      <c r="H327" s="11"/>
      <c r="I327" s="1"/>
      <c r="J327" s="7"/>
      <c r="K327" s="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8:30" ht="13.5" customHeight="1">
      <c r="H328" s="11"/>
      <c r="I328" s="1"/>
      <c r="J328" s="7"/>
      <c r="K328" s="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8:30" ht="13.5" customHeight="1">
      <c r="H329" s="11"/>
      <c r="I329" s="1"/>
      <c r="J329" s="7"/>
      <c r="K329" s="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8:30" ht="13.5" customHeight="1">
      <c r="H330" s="11"/>
      <c r="I330" s="1"/>
      <c r="J330" s="7"/>
      <c r="K330" s="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8:30" ht="13.5" customHeight="1">
      <c r="H331" s="11"/>
      <c r="I331" s="1"/>
      <c r="J331" s="7"/>
      <c r="K331" s="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8:30" ht="13.5" customHeight="1">
      <c r="H332" s="11"/>
      <c r="I332" s="1"/>
      <c r="J332" s="7"/>
      <c r="K332" s="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8:30" ht="13.5" customHeight="1">
      <c r="H333" s="11"/>
      <c r="I333" s="1"/>
      <c r="J333" s="7"/>
      <c r="K333" s="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8:30" ht="13.5" customHeight="1">
      <c r="H334" s="11"/>
      <c r="I334" s="1"/>
      <c r="J334" s="7"/>
      <c r="K334" s="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8:30" ht="13.5" customHeight="1">
      <c r="H335" s="11"/>
      <c r="I335" s="1"/>
      <c r="J335" s="7"/>
      <c r="K335" s="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8:30" ht="13.5" customHeight="1">
      <c r="H336" s="11"/>
      <c r="I336" s="1"/>
      <c r="J336" s="7"/>
      <c r="K336" s="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8:30" ht="13.5" customHeight="1">
      <c r="H337" s="11"/>
      <c r="I337" s="1"/>
      <c r="J337" s="7"/>
      <c r="K337" s="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8:30" ht="13.5" customHeight="1">
      <c r="H338" s="11"/>
      <c r="I338" s="1"/>
      <c r="J338" s="7"/>
      <c r="K338" s="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8:30" ht="13.5" customHeight="1">
      <c r="H339" s="11"/>
      <c r="I339" s="1"/>
      <c r="J339" s="7"/>
      <c r="K339" s="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8:30" ht="13.5" customHeight="1">
      <c r="H340" s="11"/>
      <c r="I340" s="1"/>
      <c r="J340" s="7"/>
      <c r="K340" s="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8:30" ht="13.5" customHeight="1">
      <c r="H341" s="11"/>
      <c r="I341" s="1"/>
      <c r="J341" s="7"/>
      <c r="K341" s="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8:30" ht="13.5" customHeight="1">
      <c r="H342" s="11"/>
      <c r="I342" s="1"/>
      <c r="J342" s="7"/>
      <c r="K342" s="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8:30" ht="13.5" customHeight="1">
      <c r="H343" s="11"/>
      <c r="I343" s="1"/>
      <c r="J343" s="7"/>
      <c r="K343" s="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8:30" ht="13.5" customHeight="1">
      <c r="H344" s="11"/>
      <c r="I344" s="1"/>
      <c r="J344" s="7"/>
      <c r="K344" s="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8:30" ht="13.5" customHeight="1">
      <c r="H345" s="11"/>
      <c r="I345" s="1"/>
      <c r="J345" s="7"/>
      <c r="K345" s="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8:30" ht="13.5" customHeight="1">
      <c r="H346" s="11"/>
      <c r="I346" s="1"/>
      <c r="J346" s="7"/>
      <c r="K346" s="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8:30" ht="13.5" customHeight="1">
      <c r="H347" s="11"/>
      <c r="I347" s="1"/>
      <c r="J347" s="7"/>
      <c r="K347" s="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8:30" ht="13.5" customHeight="1">
      <c r="H348" s="11"/>
      <c r="I348" s="1"/>
      <c r="J348" s="7"/>
      <c r="K348" s="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8:30" ht="13.5" customHeight="1">
      <c r="H349" s="11"/>
      <c r="I349" s="1"/>
      <c r="J349" s="7"/>
      <c r="K349" s="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8:30" ht="13.5" customHeight="1">
      <c r="H350" s="11"/>
      <c r="I350" s="1"/>
      <c r="J350" s="7"/>
      <c r="K350" s="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8:30" ht="13.5" customHeight="1">
      <c r="H351" s="11"/>
      <c r="I351" s="1"/>
      <c r="J351" s="7"/>
      <c r="K351" s="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8:30" ht="13.5" customHeight="1">
      <c r="H352" s="11"/>
      <c r="I352" s="1"/>
      <c r="J352" s="7"/>
      <c r="K352" s="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8:30" ht="13.5" customHeight="1">
      <c r="H353" s="11"/>
      <c r="I353" s="1"/>
      <c r="J353" s="7"/>
      <c r="K353" s="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8:30" ht="13.5" customHeight="1">
      <c r="H354" s="11"/>
      <c r="I354" s="1"/>
      <c r="J354" s="7"/>
      <c r="K354" s="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8:30" ht="13.5" customHeight="1">
      <c r="H355" s="11"/>
      <c r="I355" s="1"/>
      <c r="J355" s="7"/>
      <c r="K355" s="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8:30" ht="13.5" customHeight="1">
      <c r="H356" s="11"/>
      <c r="I356" s="1"/>
      <c r="J356" s="7"/>
      <c r="K356" s="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8:30" ht="13.5" customHeight="1">
      <c r="H357" s="11"/>
      <c r="I357" s="1"/>
      <c r="J357" s="7"/>
      <c r="K357" s="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8:30" ht="13.5" customHeight="1">
      <c r="H358" s="11"/>
      <c r="I358" s="1"/>
      <c r="J358" s="7"/>
      <c r="K358" s="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8:30" ht="13.5" customHeight="1">
      <c r="H359" s="11"/>
      <c r="I359" s="1"/>
      <c r="J359" s="7"/>
      <c r="K359" s="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8:30" ht="13.5" customHeight="1">
      <c r="H360" s="11"/>
      <c r="I360" s="1"/>
      <c r="J360" s="7"/>
      <c r="K360" s="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8:30" ht="13.5" customHeight="1">
      <c r="H361" s="11"/>
      <c r="I361" s="1"/>
      <c r="J361" s="7"/>
      <c r="K361" s="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8:30" ht="13.5" customHeight="1">
      <c r="H362" s="11"/>
      <c r="I362" s="1"/>
      <c r="J362" s="7"/>
      <c r="K362" s="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8:30" ht="13.5" customHeight="1">
      <c r="H363" s="11"/>
      <c r="I363" s="1"/>
      <c r="J363" s="7"/>
      <c r="K363" s="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8:30" ht="13.5" customHeight="1">
      <c r="H364" s="11"/>
      <c r="I364" s="1"/>
      <c r="J364" s="7"/>
      <c r="K364" s="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8:30" ht="13.5" customHeight="1">
      <c r="H365" s="11"/>
      <c r="I365" s="1"/>
      <c r="J365" s="7"/>
      <c r="K365" s="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8:30" ht="13.5" customHeight="1">
      <c r="H366" s="11"/>
      <c r="I366" s="1"/>
      <c r="J366" s="7"/>
      <c r="K366" s="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8:30" ht="13.5" customHeight="1">
      <c r="H367" s="11"/>
      <c r="I367" s="1"/>
      <c r="J367" s="7"/>
      <c r="K367" s="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8:30" ht="13.5" customHeight="1">
      <c r="H368" s="11"/>
      <c r="I368" s="1"/>
      <c r="J368" s="7"/>
      <c r="K368" s="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8:30" ht="13.5" customHeight="1">
      <c r="H369" s="11"/>
      <c r="I369" s="1"/>
      <c r="J369" s="7"/>
      <c r="K369" s="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8:30" ht="13.5" customHeight="1">
      <c r="H370" s="11"/>
      <c r="I370" s="1"/>
      <c r="J370" s="7"/>
      <c r="K370" s="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8:30" ht="13.5" customHeight="1">
      <c r="H371" s="11"/>
      <c r="I371" s="1"/>
      <c r="J371" s="7"/>
      <c r="K371" s="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8:30" ht="13.5" customHeight="1">
      <c r="H372" s="11"/>
      <c r="I372" s="1"/>
      <c r="J372" s="7"/>
      <c r="K372" s="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8:30" ht="13.5" customHeight="1">
      <c r="H373" s="11"/>
      <c r="I373" s="1"/>
      <c r="J373" s="7"/>
      <c r="K373" s="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8:30" ht="13.5" customHeight="1">
      <c r="H374" s="11"/>
      <c r="I374" s="1"/>
      <c r="J374" s="7"/>
      <c r="K374" s="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8:30" ht="13.5" customHeight="1">
      <c r="H375" s="11"/>
      <c r="I375" s="1"/>
      <c r="J375" s="7"/>
      <c r="K375" s="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8:30" ht="13.5" customHeight="1">
      <c r="H376" s="11"/>
      <c r="I376" s="1"/>
      <c r="J376" s="7"/>
      <c r="K376" s="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8:30" ht="13.5" customHeight="1">
      <c r="H377" s="11"/>
      <c r="I377" s="1"/>
      <c r="J377" s="7"/>
      <c r="K377" s="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8:30" ht="13.5" customHeight="1">
      <c r="H378" s="11"/>
      <c r="I378" s="1"/>
      <c r="J378" s="7"/>
      <c r="K378" s="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8:30" ht="13.5" customHeight="1">
      <c r="H379" s="11"/>
      <c r="I379" s="1"/>
      <c r="J379" s="7"/>
      <c r="K379" s="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8:30" ht="13.5" customHeight="1">
      <c r="H380" s="11"/>
      <c r="I380" s="1"/>
      <c r="J380" s="7"/>
      <c r="K380" s="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8:30" ht="13.5" customHeight="1">
      <c r="H381" s="11"/>
      <c r="I381" s="1"/>
      <c r="J381" s="7"/>
      <c r="K381" s="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8:30" ht="13.5" customHeight="1">
      <c r="H382" s="11"/>
      <c r="I382" s="1"/>
      <c r="J382" s="7"/>
      <c r="K382" s="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8:30" ht="13.5" customHeight="1">
      <c r="H383" s="11"/>
      <c r="I383" s="1"/>
      <c r="J383" s="7"/>
      <c r="K383" s="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8:30" ht="13.5" customHeight="1">
      <c r="H384" s="11"/>
      <c r="I384" s="1"/>
      <c r="J384" s="7"/>
      <c r="K384" s="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8:30" ht="13.5" customHeight="1">
      <c r="H385" s="11"/>
      <c r="I385" s="1"/>
      <c r="J385" s="7"/>
      <c r="K385" s="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8:30" ht="13.5" customHeight="1">
      <c r="H386" s="11"/>
      <c r="I386" s="1"/>
      <c r="J386" s="7"/>
      <c r="K386" s="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8:30" ht="13.5" customHeight="1">
      <c r="H387" s="11"/>
      <c r="I387" s="1"/>
      <c r="J387" s="7"/>
      <c r="K387" s="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8:30" ht="13.5" customHeight="1">
      <c r="H388" s="11"/>
      <c r="I388" s="1"/>
      <c r="J388" s="7"/>
      <c r="K388" s="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8:30" ht="13.5" customHeight="1">
      <c r="H389" s="11"/>
      <c r="I389" s="1"/>
      <c r="J389" s="7"/>
      <c r="K389" s="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8:30" ht="13.5" customHeight="1">
      <c r="H390" s="11"/>
      <c r="I390" s="1"/>
      <c r="J390" s="7"/>
      <c r="K390" s="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8:30" ht="13.5" customHeight="1">
      <c r="H391" s="11"/>
      <c r="I391" s="1"/>
      <c r="J391" s="7"/>
      <c r="K391" s="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8:30" ht="13.5" customHeight="1">
      <c r="H392" s="11"/>
      <c r="I392" s="1"/>
      <c r="J392" s="7"/>
      <c r="K392" s="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8:30" ht="13.5" customHeight="1">
      <c r="H393" s="11"/>
      <c r="I393" s="1"/>
      <c r="J393" s="7"/>
      <c r="K393" s="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8:30" ht="13.5" customHeight="1">
      <c r="H394" s="11"/>
      <c r="I394" s="1"/>
      <c r="J394" s="7"/>
      <c r="K394" s="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8:30" ht="13.5" customHeight="1">
      <c r="H395" s="11"/>
      <c r="I395" s="1"/>
      <c r="J395" s="7"/>
      <c r="K395" s="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8:30" ht="13.5" customHeight="1">
      <c r="H396" s="11"/>
      <c r="I396" s="1"/>
      <c r="J396" s="7"/>
      <c r="K396" s="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8:30" ht="13.5" customHeight="1">
      <c r="H397" s="11"/>
      <c r="I397" s="1"/>
      <c r="J397" s="7"/>
      <c r="K397" s="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8:30" ht="13.5" customHeight="1">
      <c r="H398" s="11"/>
      <c r="I398" s="1"/>
      <c r="J398" s="7"/>
      <c r="K398" s="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8:30" ht="13.5" customHeight="1">
      <c r="H399" s="11"/>
      <c r="I399" s="1"/>
      <c r="J399" s="7"/>
      <c r="K399" s="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8:30" ht="13.5" customHeight="1">
      <c r="H400" s="11"/>
      <c r="I400" s="1"/>
      <c r="J400" s="7"/>
      <c r="K400" s="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8:30" ht="13.5" customHeight="1">
      <c r="H401" s="11"/>
      <c r="I401" s="1"/>
      <c r="J401" s="7"/>
      <c r="K401" s="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8:30" ht="13.5" customHeight="1">
      <c r="H402" s="11"/>
      <c r="I402" s="1"/>
      <c r="J402" s="7"/>
      <c r="K402" s="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8:30" ht="13.5" customHeight="1">
      <c r="H403" s="11"/>
      <c r="I403" s="1"/>
      <c r="J403" s="7"/>
      <c r="K403" s="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8:30" ht="13.5" customHeight="1">
      <c r="H404" s="11"/>
      <c r="I404" s="1"/>
      <c r="J404" s="7"/>
      <c r="K404" s="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8:30" ht="13.5" customHeight="1">
      <c r="H405" s="11"/>
      <c r="I405" s="1"/>
      <c r="J405" s="7"/>
      <c r="K405" s="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8:30" ht="13.5" customHeight="1">
      <c r="H406" s="11"/>
      <c r="I406" s="1"/>
      <c r="J406" s="7"/>
      <c r="K406" s="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8:30" ht="13.5" customHeight="1">
      <c r="H407" s="11"/>
      <c r="I407" s="1"/>
      <c r="J407" s="7"/>
      <c r="K407" s="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8:30" ht="13.5" customHeight="1">
      <c r="H408" s="11"/>
      <c r="I408" s="1"/>
      <c r="J408" s="7"/>
      <c r="K408" s="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8:30" ht="13.5" customHeight="1">
      <c r="H409" s="11"/>
      <c r="I409" s="1"/>
      <c r="J409" s="7"/>
      <c r="K409" s="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8:30" ht="13.5" customHeight="1">
      <c r="H410" s="11"/>
      <c r="I410" s="1"/>
      <c r="J410" s="7"/>
      <c r="K410" s="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8:30" ht="13.5" customHeight="1">
      <c r="H411" s="11"/>
      <c r="I411" s="1"/>
      <c r="J411" s="7"/>
      <c r="K411" s="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8:30" ht="13.5" customHeight="1">
      <c r="H412" s="11"/>
      <c r="I412" s="1"/>
      <c r="J412" s="7"/>
      <c r="K412" s="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8:30" ht="13.5" customHeight="1">
      <c r="H413" s="11"/>
      <c r="I413" s="1"/>
      <c r="J413" s="7"/>
      <c r="K413" s="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8:30" ht="13.5" customHeight="1">
      <c r="H414" s="11"/>
      <c r="I414" s="1"/>
      <c r="J414" s="7"/>
      <c r="K414" s="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8:30" ht="13.5" customHeight="1">
      <c r="H415" s="11"/>
      <c r="I415" s="1"/>
      <c r="J415" s="7"/>
      <c r="K415" s="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8:30" ht="13.5" customHeight="1">
      <c r="H416" s="11"/>
      <c r="I416" s="1"/>
      <c r="J416" s="7"/>
      <c r="K416" s="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8:30" ht="13.5" customHeight="1">
      <c r="H417" s="11"/>
      <c r="I417" s="1"/>
      <c r="J417" s="7"/>
      <c r="K417" s="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8:30" ht="13.5" customHeight="1">
      <c r="H418" s="11"/>
      <c r="I418" s="1"/>
      <c r="J418" s="7"/>
      <c r="K418" s="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8:30" ht="13.5" customHeight="1">
      <c r="H419" s="11"/>
      <c r="I419" s="1"/>
      <c r="J419" s="7"/>
      <c r="K419" s="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8:30" ht="13.5" customHeight="1">
      <c r="H420" s="11"/>
      <c r="I420" s="1"/>
      <c r="J420" s="7"/>
      <c r="K420" s="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8:30" ht="13.5" customHeight="1">
      <c r="H421" s="11"/>
      <c r="I421" s="1"/>
      <c r="J421" s="7"/>
      <c r="K421" s="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8:30" ht="13.5" customHeight="1">
      <c r="H422" s="11"/>
      <c r="I422" s="1"/>
      <c r="J422" s="7"/>
      <c r="K422" s="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8:30" ht="13.5" customHeight="1">
      <c r="H423" s="11"/>
      <c r="I423" s="1"/>
      <c r="J423" s="7"/>
      <c r="K423" s="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8:30" ht="13.5" customHeight="1">
      <c r="H424" s="11"/>
      <c r="I424" s="1"/>
      <c r="J424" s="7"/>
      <c r="K424" s="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8:30" ht="13.5" customHeight="1">
      <c r="H425" s="11"/>
      <c r="I425" s="1"/>
      <c r="J425" s="7"/>
      <c r="K425" s="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8:30" ht="13.5" customHeight="1">
      <c r="H426" s="11"/>
      <c r="I426" s="1"/>
      <c r="J426" s="7"/>
      <c r="K426" s="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8:30" ht="13.5" customHeight="1">
      <c r="H427" s="11"/>
      <c r="I427" s="1"/>
      <c r="J427" s="7"/>
      <c r="K427" s="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8:30" ht="13.5" customHeight="1">
      <c r="H428" s="11"/>
      <c r="I428" s="1"/>
      <c r="J428" s="7"/>
      <c r="K428" s="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8:30" ht="13.5" customHeight="1">
      <c r="H429" s="11"/>
      <c r="I429" s="1"/>
      <c r="J429" s="7"/>
      <c r="K429" s="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8:30" ht="13.5" customHeight="1">
      <c r="H430" s="11"/>
      <c r="I430" s="1"/>
      <c r="J430" s="7"/>
      <c r="K430" s="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8:30" ht="13.5" customHeight="1">
      <c r="H431" s="11"/>
      <c r="I431" s="1"/>
      <c r="J431" s="7"/>
      <c r="K431" s="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8:30" ht="13.5" customHeight="1">
      <c r="H432" s="11"/>
      <c r="I432" s="1"/>
      <c r="J432" s="7"/>
      <c r="K432" s="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8:30" ht="13.5" customHeight="1">
      <c r="H433" s="11"/>
      <c r="I433" s="1"/>
      <c r="J433" s="7"/>
      <c r="K433" s="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8:30" ht="13.5" customHeight="1">
      <c r="H434" s="11"/>
      <c r="I434" s="1"/>
      <c r="J434" s="7"/>
      <c r="K434" s="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8:30" ht="13.5" customHeight="1">
      <c r="H435" s="11"/>
      <c r="I435" s="1"/>
      <c r="J435" s="7"/>
      <c r="K435" s="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8:30" ht="13.5" customHeight="1">
      <c r="H436" s="11"/>
      <c r="I436" s="1"/>
      <c r="J436" s="7"/>
      <c r="K436" s="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8:30" ht="13.5" customHeight="1">
      <c r="H437" s="11"/>
      <c r="I437" s="1"/>
      <c r="J437" s="7"/>
      <c r="K437" s="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8:30" ht="13.5" customHeight="1">
      <c r="H438" s="11"/>
      <c r="I438" s="1"/>
      <c r="J438" s="7"/>
      <c r="K438" s="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8:30" ht="13.5" customHeight="1">
      <c r="H439" s="11"/>
      <c r="I439" s="1"/>
      <c r="J439" s="7"/>
      <c r="K439" s="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8:30" ht="13.5" customHeight="1">
      <c r="H440" s="11"/>
      <c r="I440" s="1"/>
      <c r="J440" s="7"/>
      <c r="K440" s="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8:30" ht="13.5" customHeight="1">
      <c r="H441" s="11"/>
      <c r="I441" s="1"/>
      <c r="J441" s="7"/>
      <c r="K441" s="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8:30" ht="13.5" customHeight="1">
      <c r="H442" s="11"/>
      <c r="I442" s="1"/>
      <c r="J442" s="7"/>
      <c r="K442" s="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8:30" ht="13.5" customHeight="1">
      <c r="H443" s="11"/>
      <c r="I443" s="1"/>
      <c r="J443" s="7"/>
      <c r="K443" s="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8:30" ht="13.5" customHeight="1">
      <c r="H444" s="11"/>
      <c r="I444" s="1"/>
      <c r="J444" s="7"/>
      <c r="K444" s="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8:30" ht="13.5" customHeight="1">
      <c r="H445" s="11"/>
      <c r="I445" s="1"/>
      <c r="J445" s="7"/>
      <c r="K445" s="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8:30" ht="13.5" customHeight="1">
      <c r="H446" s="11"/>
      <c r="I446" s="1"/>
      <c r="J446" s="7"/>
      <c r="K446" s="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8:30" ht="13.5" customHeight="1">
      <c r="H447" s="11"/>
      <c r="I447" s="1"/>
      <c r="J447" s="7"/>
      <c r="K447" s="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8:30" ht="13.5" customHeight="1">
      <c r="H448" s="11"/>
      <c r="I448" s="1"/>
      <c r="J448" s="7"/>
      <c r="K448" s="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8:30" ht="13.5" customHeight="1">
      <c r="H449" s="11"/>
      <c r="I449" s="1"/>
      <c r="J449" s="7"/>
      <c r="K449" s="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8:30" ht="13.5" customHeight="1">
      <c r="H450" s="11"/>
      <c r="I450" s="1"/>
      <c r="J450" s="7"/>
      <c r="K450" s="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8:30" ht="13.5" customHeight="1">
      <c r="H451" s="11"/>
      <c r="I451" s="1"/>
      <c r="J451" s="7"/>
      <c r="K451" s="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8:30" ht="13.5" customHeight="1">
      <c r="H452" s="11"/>
      <c r="I452" s="1"/>
      <c r="J452" s="7"/>
      <c r="K452" s="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8:30" ht="13.5" customHeight="1">
      <c r="H453" s="11"/>
      <c r="I453" s="1"/>
      <c r="J453" s="7"/>
      <c r="K453" s="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8:30" ht="13.5" customHeight="1">
      <c r="H454" s="11"/>
      <c r="I454" s="1"/>
      <c r="J454" s="7"/>
      <c r="K454" s="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8:30" ht="13.5" customHeight="1">
      <c r="H455" s="11"/>
      <c r="I455" s="1"/>
      <c r="J455" s="7"/>
      <c r="K455" s="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8:30" ht="13.5" customHeight="1">
      <c r="H456" s="11"/>
      <c r="I456" s="1"/>
      <c r="J456" s="7"/>
      <c r="K456" s="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8:30" ht="13.5" customHeight="1">
      <c r="H457" s="11"/>
      <c r="I457" s="1"/>
      <c r="J457" s="7"/>
      <c r="K457" s="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8:30" ht="13.5" customHeight="1">
      <c r="H458" s="11"/>
      <c r="I458" s="1"/>
      <c r="J458" s="7"/>
      <c r="K458" s="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8:30" ht="13.5" customHeight="1">
      <c r="H459" s="11"/>
      <c r="I459" s="1"/>
      <c r="J459" s="7"/>
      <c r="K459" s="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8:30" ht="13.5" customHeight="1">
      <c r="H460" s="11"/>
      <c r="I460" s="1"/>
      <c r="J460" s="7"/>
      <c r="K460" s="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8:30" ht="13.5" customHeight="1">
      <c r="H461" s="11"/>
      <c r="I461" s="1"/>
      <c r="J461" s="7"/>
      <c r="K461" s="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8:30" ht="13.5" customHeight="1">
      <c r="H462" s="11"/>
      <c r="I462" s="1"/>
      <c r="J462" s="7"/>
      <c r="K462" s="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8:30" ht="13.5" customHeight="1">
      <c r="H463" s="11"/>
      <c r="I463" s="1"/>
      <c r="J463" s="7"/>
      <c r="K463" s="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8:30" ht="13.5" customHeight="1">
      <c r="H464" s="11"/>
      <c r="I464" s="1"/>
      <c r="J464" s="7"/>
      <c r="K464" s="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8:30" ht="13.5" customHeight="1">
      <c r="H465" s="11"/>
      <c r="I465" s="1"/>
      <c r="J465" s="7"/>
      <c r="K465" s="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8:30" ht="13.5" customHeight="1">
      <c r="H466" s="11"/>
      <c r="I466" s="1"/>
      <c r="J466" s="7"/>
      <c r="K466" s="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8:30" ht="13.5" customHeight="1">
      <c r="H467" s="11"/>
      <c r="I467" s="1"/>
      <c r="J467" s="7"/>
      <c r="K467" s="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8:30" ht="13.5" customHeight="1">
      <c r="H468" s="11"/>
      <c r="I468" s="1"/>
      <c r="J468" s="7"/>
      <c r="K468" s="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8:30" ht="13.5" customHeight="1">
      <c r="H469" s="11"/>
      <c r="I469" s="1"/>
      <c r="J469" s="7"/>
      <c r="K469" s="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8:30" ht="13.5" customHeight="1">
      <c r="H470" s="11"/>
      <c r="I470" s="1"/>
      <c r="J470" s="7"/>
      <c r="K470" s="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8:30" ht="13.5" customHeight="1">
      <c r="H471" s="11"/>
      <c r="I471" s="1"/>
      <c r="J471" s="7"/>
      <c r="K471" s="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8:30" ht="13.5" customHeight="1">
      <c r="H472" s="11"/>
      <c r="I472" s="1"/>
      <c r="J472" s="7"/>
      <c r="K472" s="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8:30" ht="13.5" customHeight="1">
      <c r="H473" s="11"/>
      <c r="I473" s="1"/>
      <c r="J473" s="7"/>
      <c r="K473" s="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8:30" ht="13.5" customHeight="1">
      <c r="H474" s="11"/>
      <c r="I474" s="1"/>
      <c r="J474" s="7"/>
      <c r="K474" s="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8:30" ht="13.5" customHeight="1">
      <c r="H475" s="11"/>
      <c r="I475" s="1"/>
      <c r="J475" s="7"/>
      <c r="K475" s="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8:30" ht="13.5" customHeight="1">
      <c r="H476" s="11"/>
      <c r="I476" s="1"/>
      <c r="J476" s="7"/>
      <c r="K476" s="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8:30" ht="13.5" customHeight="1">
      <c r="H477" s="11"/>
      <c r="I477" s="1"/>
      <c r="J477" s="7"/>
      <c r="K477" s="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8:30" ht="13.5" customHeight="1">
      <c r="H478" s="11"/>
      <c r="I478" s="1"/>
      <c r="J478" s="7"/>
      <c r="K478" s="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8:30" ht="13.5" customHeight="1">
      <c r="H479" s="11"/>
      <c r="I479" s="1"/>
      <c r="J479" s="7"/>
      <c r="K479" s="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8:30" ht="13.5" customHeight="1">
      <c r="H480" s="11"/>
      <c r="I480" s="1"/>
      <c r="J480" s="7"/>
      <c r="K480" s="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8:30" ht="13.5" customHeight="1">
      <c r="H481" s="11"/>
      <c r="I481" s="1"/>
      <c r="J481" s="7"/>
      <c r="K481" s="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8:30" ht="13.5" customHeight="1">
      <c r="H482" s="11"/>
      <c r="I482" s="1"/>
      <c r="J482" s="7"/>
      <c r="K482" s="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8:30" ht="13.5" customHeight="1">
      <c r="H483" s="11"/>
      <c r="I483" s="1"/>
      <c r="J483" s="7"/>
      <c r="K483" s="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8:30" ht="13.5" customHeight="1">
      <c r="H484" s="11"/>
      <c r="I484" s="1"/>
      <c r="J484" s="7"/>
      <c r="K484" s="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8:30" ht="13.5" customHeight="1">
      <c r="H485" s="11"/>
      <c r="I485" s="1"/>
      <c r="J485" s="7"/>
      <c r="K485" s="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8:30" ht="13.5" customHeight="1">
      <c r="H486" s="11"/>
      <c r="I486" s="1"/>
      <c r="J486" s="7"/>
      <c r="K486" s="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8:30" ht="13.5" customHeight="1">
      <c r="H487" s="11"/>
      <c r="I487" s="1"/>
      <c r="J487" s="7"/>
      <c r="K487" s="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8:30" ht="13.5" customHeight="1">
      <c r="H488" s="11"/>
      <c r="I488" s="1"/>
      <c r="J488" s="7"/>
      <c r="K488" s="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8:30" ht="13.5" customHeight="1">
      <c r="H489" s="11"/>
      <c r="I489" s="1"/>
      <c r="J489" s="7"/>
      <c r="K489" s="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8:30" ht="13.5" customHeight="1">
      <c r="H490" s="11"/>
      <c r="I490" s="1"/>
      <c r="J490" s="7"/>
      <c r="K490" s="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8:30" ht="13.5" customHeight="1">
      <c r="H491" s="11"/>
      <c r="I491" s="1"/>
      <c r="J491" s="7"/>
      <c r="K491" s="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8:30" ht="13.5" customHeight="1">
      <c r="H492" s="11"/>
      <c r="I492" s="1"/>
      <c r="J492" s="7"/>
      <c r="K492" s="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8:30" ht="13.5" customHeight="1">
      <c r="H493" s="11"/>
      <c r="I493" s="1"/>
      <c r="J493" s="7"/>
      <c r="K493" s="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8:30" ht="13.5" customHeight="1">
      <c r="H494" s="11"/>
      <c r="I494" s="1"/>
      <c r="J494" s="7"/>
      <c r="K494" s="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8:30" ht="13.5" customHeight="1">
      <c r="H495" s="11"/>
      <c r="I495" s="1"/>
      <c r="J495" s="7"/>
      <c r="K495" s="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8:30" ht="13.5" customHeight="1">
      <c r="H496" s="11"/>
      <c r="I496" s="1"/>
      <c r="J496" s="7"/>
      <c r="K496" s="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8:30" ht="13.5" customHeight="1">
      <c r="H497" s="11"/>
      <c r="I497" s="1"/>
      <c r="J497" s="7"/>
      <c r="K497" s="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8:30" ht="13.5" customHeight="1">
      <c r="H498" s="11"/>
      <c r="I498" s="1"/>
      <c r="J498" s="7"/>
      <c r="K498" s="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8:30" ht="13.5" customHeight="1">
      <c r="H499" s="11"/>
      <c r="I499" s="1"/>
      <c r="J499" s="7"/>
      <c r="K499" s="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8:30" ht="13.5" customHeight="1">
      <c r="H500" s="11"/>
      <c r="I500" s="1"/>
      <c r="J500" s="7"/>
      <c r="K500" s="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8:30" ht="13.5" customHeight="1">
      <c r="H501" s="11"/>
      <c r="I501" s="1"/>
      <c r="J501" s="7"/>
      <c r="K501" s="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8:30" ht="13.5" customHeight="1">
      <c r="H502" s="11"/>
      <c r="I502" s="1"/>
      <c r="J502" s="7"/>
      <c r="K502" s="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8:30" ht="13.5" customHeight="1">
      <c r="H503" s="11"/>
      <c r="I503" s="1"/>
      <c r="J503" s="7"/>
      <c r="K503" s="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8:30" ht="13.5" customHeight="1">
      <c r="H504" s="11"/>
      <c r="I504" s="1"/>
      <c r="J504" s="7"/>
      <c r="K504" s="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8:30" ht="13.5" customHeight="1">
      <c r="H505" s="11"/>
      <c r="I505" s="1"/>
      <c r="J505" s="7"/>
      <c r="K505" s="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8:30" ht="13.5" customHeight="1">
      <c r="H506" s="11"/>
      <c r="I506" s="1"/>
      <c r="J506" s="7"/>
      <c r="K506" s="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8:30" ht="13.5" customHeight="1">
      <c r="H507" s="11"/>
      <c r="I507" s="1"/>
      <c r="J507" s="7"/>
      <c r="K507" s="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8:30" ht="13.5" customHeight="1">
      <c r="H508" s="11"/>
      <c r="I508" s="1"/>
      <c r="J508" s="7"/>
      <c r="K508" s="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8:30" ht="13.5" customHeight="1">
      <c r="H509" s="11"/>
      <c r="I509" s="1"/>
      <c r="J509" s="7"/>
      <c r="K509" s="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8:30" ht="13.5" customHeight="1">
      <c r="H510" s="11"/>
      <c r="I510" s="1"/>
      <c r="J510" s="7"/>
      <c r="K510" s="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8:30" ht="13.5" customHeight="1">
      <c r="H511" s="11"/>
      <c r="I511" s="1"/>
      <c r="J511" s="7"/>
      <c r="K511" s="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8:30" ht="13.5" customHeight="1">
      <c r="H512" s="11"/>
      <c r="I512" s="1"/>
      <c r="J512" s="7"/>
      <c r="K512" s="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8:30" ht="13.5" customHeight="1">
      <c r="H513" s="11"/>
      <c r="I513" s="1"/>
      <c r="J513" s="7"/>
      <c r="K513" s="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8:30" ht="13.5" customHeight="1">
      <c r="H514" s="11"/>
      <c r="I514" s="1"/>
      <c r="J514" s="7"/>
      <c r="K514" s="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8:30" ht="13.5" customHeight="1">
      <c r="H515" s="11"/>
      <c r="I515" s="1"/>
      <c r="J515" s="7"/>
      <c r="K515" s="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8:30" ht="13.5" customHeight="1">
      <c r="H516" s="11"/>
      <c r="I516" s="1"/>
      <c r="J516" s="7"/>
      <c r="K516" s="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8:30" ht="13.5" customHeight="1">
      <c r="H517" s="11"/>
      <c r="I517" s="1"/>
      <c r="J517" s="7"/>
      <c r="K517" s="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8:30" ht="13.5" customHeight="1">
      <c r="H518" s="11"/>
      <c r="I518" s="1"/>
      <c r="J518" s="7"/>
      <c r="K518" s="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8:30" ht="13.5" customHeight="1">
      <c r="H519" s="11"/>
      <c r="I519" s="1"/>
      <c r="J519" s="7"/>
      <c r="K519" s="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8:30" ht="13.5" customHeight="1">
      <c r="H520" s="11"/>
      <c r="I520" s="1"/>
      <c r="J520" s="7"/>
      <c r="K520" s="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8:30" ht="13.5" customHeight="1">
      <c r="H521" s="11"/>
      <c r="I521" s="1"/>
      <c r="J521" s="7"/>
      <c r="K521" s="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8:30" ht="13.5" customHeight="1">
      <c r="H522" s="11"/>
      <c r="I522" s="1"/>
      <c r="J522" s="7"/>
      <c r="K522" s="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8:30" ht="13.5" customHeight="1">
      <c r="H523" s="11"/>
      <c r="I523" s="1"/>
      <c r="J523" s="7"/>
      <c r="K523" s="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8:30" ht="13.5" customHeight="1">
      <c r="H524" s="11"/>
      <c r="I524" s="1"/>
      <c r="J524" s="7"/>
      <c r="K524" s="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8:30" ht="13.5" customHeight="1">
      <c r="H525" s="11"/>
      <c r="I525" s="1"/>
      <c r="J525" s="7"/>
      <c r="K525" s="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8:30" ht="13.5" customHeight="1">
      <c r="H526" s="11"/>
      <c r="I526" s="1"/>
      <c r="J526" s="7"/>
      <c r="K526" s="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8:30" ht="13.5" customHeight="1">
      <c r="H527" s="11"/>
      <c r="I527" s="1"/>
      <c r="J527" s="7"/>
      <c r="K527" s="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8:30" ht="13.5" customHeight="1">
      <c r="H528" s="11"/>
      <c r="I528" s="1"/>
      <c r="J528" s="7"/>
      <c r="K528" s="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8:30" ht="13.5" customHeight="1">
      <c r="H529" s="11"/>
      <c r="I529" s="1"/>
      <c r="J529" s="7"/>
      <c r="K529" s="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8:30" ht="13.5" customHeight="1">
      <c r="H530" s="11"/>
      <c r="I530" s="1"/>
      <c r="J530" s="7"/>
      <c r="K530" s="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8:30" ht="13.5" customHeight="1">
      <c r="H531" s="11"/>
      <c r="I531" s="1"/>
      <c r="J531" s="7"/>
      <c r="K531" s="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8:30" ht="13.5" customHeight="1">
      <c r="H532" s="11"/>
      <c r="I532" s="1"/>
      <c r="J532" s="7"/>
      <c r="K532" s="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8:30" ht="13.5" customHeight="1">
      <c r="H533" s="11"/>
      <c r="I533" s="1"/>
      <c r="J533" s="7"/>
      <c r="K533" s="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8:30" ht="13.5" customHeight="1">
      <c r="H534" s="11"/>
      <c r="I534" s="1"/>
      <c r="J534" s="7"/>
      <c r="K534" s="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8:30" ht="13.5" customHeight="1">
      <c r="H535" s="11"/>
      <c r="I535" s="1"/>
      <c r="J535" s="7"/>
      <c r="K535" s="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8:30" ht="13.5" customHeight="1">
      <c r="H536" s="11"/>
      <c r="I536" s="1"/>
      <c r="J536" s="7"/>
      <c r="K536" s="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8:30" ht="13.5" customHeight="1">
      <c r="H537" s="11"/>
      <c r="I537" s="1"/>
      <c r="J537" s="7"/>
      <c r="K537" s="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8:30" ht="13.5" customHeight="1">
      <c r="H538" s="11"/>
      <c r="I538" s="1"/>
      <c r="J538" s="7"/>
      <c r="K538" s="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8:30" ht="13.5" customHeight="1">
      <c r="H539" s="11"/>
      <c r="I539" s="1"/>
      <c r="J539" s="7"/>
      <c r="K539" s="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8:30" ht="13.5" customHeight="1">
      <c r="H540" s="11"/>
      <c r="I540" s="1"/>
      <c r="J540" s="7"/>
      <c r="K540" s="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8:30" ht="13.5" customHeight="1">
      <c r="H541" s="11"/>
      <c r="I541" s="1"/>
      <c r="J541" s="7"/>
      <c r="K541" s="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8:30" ht="13.5" customHeight="1">
      <c r="H542" s="11"/>
      <c r="I542" s="1"/>
      <c r="J542" s="7"/>
      <c r="K542" s="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8:30" ht="13.5" customHeight="1">
      <c r="H543" s="11"/>
      <c r="I543" s="1"/>
      <c r="J543" s="7"/>
      <c r="K543" s="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8:30" ht="13.5" customHeight="1">
      <c r="H544" s="11"/>
      <c r="I544" s="1"/>
      <c r="J544" s="7"/>
      <c r="K544" s="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8:30" ht="13.5" customHeight="1">
      <c r="H545" s="11"/>
      <c r="I545" s="1"/>
      <c r="J545" s="7"/>
      <c r="K545" s="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8:30" ht="13.5" customHeight="1">
      <c r="H546" s="11"/>
      <c r="I546" s="1"/>
      <c r="J546" s="7"/>
      <c r="K546" s="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8:30" ht="13.5" customHeight="1">
      <c r="H547" s="11"/>
      <c r="I547" s="1"/>
      <c r="J547" s="7"/>
      <c r="K547" s="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8:30" ht="13.5" customHeight="1">
      <c r="H548" s="11"/>
      <c r="I548" s="1"/>
      <c r="J548" s="7"/>
      <c r="K548" s="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8:30" ht="13.5" customHeight="1">
      <c r="H549" s="11"/>
      <c r="I549" s="1"/>
      <c r="J549" s="7"/>
      <c r="K549" s="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8:30" ht="13.5" customHeight="1">
      <c r="H550" s="11"/>
      <c r="I550" s="1"/>
      <c r="J550" s="7"/>
      <c r="K550" s="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8:30" ht="13.5" customHeight="1">
      <c r="H551" s="11"/>
      <c r="I551" s="1"/>
      <c r="J551" s="7"/>
      <c r="K551" s="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8:30" ht="13.5" customHeight="1">
      <c r="H552" s="11"/>
      <c r="I552" s="1"/>
      <c r="J552" s="7"/>
      <c r="K552" s="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8:30" ht="13.5" customHeight="1">
      <c r="H553" s="11"/>
      <c r="I553" s="1"/>
      <c r="J553" s="7"/>
      <c r="K553" s="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8:30" ht="13.5" customHeight="1">
      <c r="H554" s="11"/>
      <c r="I554" s="1"/>
      <c r="J554" s="7"/>
      <c r="K554" s="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8:30" ht="13.5" customHeight="1">
      <c r="H555" s="11"/>
      <c r="I555" s="1"/>
      <c r="J555" s="7"/>
      <c r="K555" s="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8:30" ht="13.5" customHeight="1">
      <c r="H556" s="11"/>
      <c r="I556" s="1"/>
      <c r="J556" s="7"/>
      <c r="K556" s="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8:30" ht="13.5" customHeight="1">
      <c r="H557" s="11"/>
      <c r="I557" s="1"/>
      <c r="J557" s="7"/>
      <c r="K557" s="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8:30" ht="13.5" customHeight="1">
      <c r="H558" s="11"/>
      <c r="I558" s="1"/>
      <c r="J558" s="7"/>
      <c r="K558" s="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8:30" ht="13.5" customHeight="1">
      <c r="H559" s="11"/>
      <c r="I559" s="1"/>
      <c r="J559" s="7"/>
      <c r="K559" s="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8:30" ht="13.5" customHeight="1">
      <c r="H560" s="11"/>
      <c r="I560" s="1"/>
      <c r="J560" s="7"/>
      <c r="K560" s="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8:30" ht="13.5" customHeight="1">
      <c r="H561" s="11"/>
      <c r="I561" s="1"/>
      <c r="J561" s="7"/>
      <c r="K561" s="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8:30" ht="13.5" customHeight="1">
      <c r="H562" s="11"/>
      <c r="I562" s="1"/>
      <c r="J562" s="7"/>
      <c r="K562" s="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8:30" ht="13.5" customHeight="1">
      <c r="H563" s="11"/>
      <c r="I563" s="1"/>
      <c r="J563" s="7"/>
      <c r="K563" s="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8:30" ht="13.5" customHeight="1">
      <c r="H564" s="11"/>
      <c r="I564" s="1"/>
      <c r="J564" s="7"/>
      <c r="K564" s="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8:30" ht="13.5" customHeight="1">
      <c r="H565" s="11"/>
      <c r="I565" s="1"/>
      <c r="J565" s="7"/>
      <c r="K565" s="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8:30" ht="13.5" customHeight="1">
      <c r="H566" s="11"/>
      <c r="I566" s="1"/>
      <c r="J566" s="7"/>
      <c r="K566" s="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8:30" ht="13.5" customHeight="1">
      <c r="H567" s="11"/>
      <c r="I567" s="1"/>
      <c r="J567" s="7"/>
      <c r="K567" s="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8:30" ht="13.5" customHeight="1">
      <c r="H568" s="11"/>
      <c r="I568" s="1"/>
      <c r="J568" s="7"/>
      <c r="K568" s="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8:30" ht="13.5" customHeight="1">
      <c r="H569" s="11"/>
      <c r="I569" s="1"/>
      <c r="J569" s="7"/>
      <c r="K569" s="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8:30" ht="13.5" customHeight="1">
      <c r="H570" s="11"/>
      <c r="I570" s="1"/>
      <c r="J570" s="7"/>
      <c r="K570" s="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8:30" ht="13.5" customHeight="1">
      <c r="H571" s="11"/>
      <c r="I571" s="1"/>
      <c r="J571" s="7"/>
      <c r="K571" s="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8:30" ht="13.5" customHeight="1">
      <c r="H572" s="11"/>
      <c r="I572" s="1"/>
      <c r="J572" s="7"/>
      <c r="K572" s="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8:30" ht="13.5" customHeight="1">
      <c r="H573" s="11"/>
      <c r="I573" s="1"/>
      <c r="J573" s="7"/>
      <c r="K573" s="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8:30" ht="13.5" customHeight="1">
      <c r="H574" s="11"/>
      <c r="I574" s="1"/>
      <c r="J574" s="7"/>
      <c r="K574" s="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8:30" ht="13.5" customHeight="1">
      <c r="H575" s="11"/>
      <c r="I575" s="1"/>
      <c r="J575" s="7"/>
      <c r="K575" s="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8:30" ht="13.5" customHeight="1">
      <c r="H576" s="11"/>
      <c r="I576" s="1"/>
      <c r="J576" s="7"/>
      <c r="K576" s="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8:30" ht="13.5" customHeight="1">
      <c r="H577" s="11"/>
      <c r="I577" s="1"/>
      <c r="J577" s="7"/>
      <c r="K577" s="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8:30" ht="13.5" customHeight="1">
      <c r="H578" s="11"/>
      <c r="I578" s="1"/>
      <c r="J578" s="7"/>
      <c r="K578" s="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8:30" ht="13.5" customHeight="1">
      <c r="H579" s="11"/>
      <c r="I579" s="1"/>
      <c r="J579" s="7"/>
      <c r="K579" s="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8:30" ht="13.5" customHeight="1">
      <c r="H580" s="11"/>
      <c r="I580" s="1"/>
      <c r="J580" s="7"/>
      <c r="K580" s="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8:30" ht="13.5" customHeight="1">
      <c r="H581" s="11"/>
      <c r="I581" s="1"/>
      <c r="J581" s="7"/>
      <c r="K581" s="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8:30" ht="13.5" customHeight="1">
      <c r="H582" s="11"/>
      <c r="I582" s="1"/>
      <c r="J582" s="7"/>
      <c r="K582" s="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8:30" ht="13.5" customHeight="1">
      <c r="H583" s="11"/>
      <c r="I583" s="1"/>
      <c r="J583" s="7"/>
      <c r="K583" s="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8:30" ht="13.5" customHeight="1">
      <c r="H584" s="11"/>
      <c r="I584" s="1"/>
      <c r="J584" s="7"/>
      <c r="K584" s="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8:30" ht="13.5" customHeight="1">
      <c r="H585" s="11"/>
      <c r="I585" s="1"/>
      <c r="J585" s="7"/>
      <c r="K585" s="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8:30" ht="13.5" customHeight="1">
      <c r="H586" s="11"/>
      <c r="I586" s="1"/>
      <c r="J586" s="7"/>
      <c r="K586" s="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8:30" ht="13.5" customHeight="1">
      <c r="H587" s="11"/>
      <c r="I587" s="1"/>
      <c r="J587" s="7"/>
      <c r="K587" s="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8:30" ht="13.5" customHeight="1">
      <c r="H588" s="11"/>
      <c r="I588" s="1"/>
      <c r="J588" s="7"/>
      <c r="K588" s="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8:30" ht="13.5" customHeight="1">
      <c r="H589" s="11"/>
      <c r="I589" s="1"/>
      <c r="J589" s="7"/>
      <c r="K589" s="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8:30" ht="13.5" customHeight="1">
      <c r="H590" s="11"/>
      <c r="I590" s="1"/>
      <c r="J590" s="7"/>
      <c r="K590" s="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8:30" ht="13.5" customHeight="1">
      <c r="H591" s="11"/>
      <c r="I591" s="1"/>
      <c r="J591" s="7"/>
      <c r="K591" s="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8:30" ht="13.5" customHeight="1">
      <c r="H592" s="11"/>
      <c r="I592" s="1"/>
      <c r="J592" s="7"/>
      <c r="K592" s="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8:30" ht="13.5" customHeight="1">
      <c r="H593" s="11"/>
      <c r="I593" s="1"/>
      <c r="J593" s="7"/>
      <c r="K593" s="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8:30" ht="13.5" customHeight="1">
      <c r="H594" s="11"/>
      <c r="I594" s="1"/>
      <c r="J594" s="7"/>
      <c r="K594" s="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8:30" ht="13.5" customHeight="1">
      <c r="H595" s="11"/>
      <c r="I595" s="1"/>
      <c r="J595" s="7"/>
      <c r="K595" s="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8:30" ht="13.5" customHeight="1">
      <c r="H596" s="11"/>
      <c r="I596" s="1"/>
      <c r="J596" s="7"/>
      <c r="K596" s="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8:30" ht="13.5" customHeight="1">
      <c r="H597" s="11"/>
      <c r="I597" s="1"/>
      <c r="J597" s="7"/>
      <c r="K597" s="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8:30" ht="13.5" customHeight="1">
      <c r="H598" s="11"/>
      <c r="I598" s="1"/>
      <c r="J598" s="7"/>
      <c r="K598" s="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8:30" ht="13.5" customHeight="1">
      <c r="H599" s="11"/>
      <c r="I599" s="1"/>
      <c r="J599" s="7"/>
      <c r="K599" s="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8:30" ht="13.5" customHeight="1">
      <c r="H600" s="11"/>
      <c r="I600" s="1"/>
      <c r="J600" s="7"/>
      <c r="K600" s="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8:30" ht="13.5" customHeight="1">
      <c r="H601" s="11"/>
      <c r="I601" s="1"/>
      <c r="J601" s="7"/>
      <c r="K601" s="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8:30" ht="13.5" customHeight="1">
      <c r="H602" s="11"/>
      <c r="I602" s="1"/>
      <c r="J602" s="7"/>
      <c r="K602" s="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8:30" ht="13.5" customHeight="1">
      <c r="H603" s="11"/>
      <c r="I603" s="1"/>
      <c r="J603" s="7"/>
      <c r="K603" s="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8:30" ht="13.5" customHeight="1">
      <c r="H604" s="11"/>
      <c r="I604" s="1"/>
      <c r="J604" s="7"/>
      <c r="K604" s="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8:30" ht="13.5" customHeight="1">
      <c r="H605" s="11"/>
      <c r="I605" s="1"/>
      <c r="J605" s="7"/>
      <c r="K605" s="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8:30" ht="13.5" customHeight="1">
      <c r="H606" s="11"/>
      <c r="I606" s="1"/>
      <c r="J606" s="7"/>
      <c r="K606" s="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8:30" ht="13.5" customHeight="1">
      <c r="H607" s="11"/>
      <c r="I607" s="1"/>
      <c r="J607" s="7"/>
      <c r="K607" s="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8:30" ht="13.5" customHeight="1">
      <c r="H608" s="11"/>
      <c r="I608" s="1"/>
      <c r="J608" s="7"/>
      <c r="K608" s="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8:30" ht="13.5" customHeight="1">
      <c r="H609" s="11"/>
      <c r="I609" s="1"/>
      <c r="J609" s="7"/>
      <c r="K609" s="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8:30" ht="13.5" customHeight="1">
      <c r="H610" s="11"/>
      <c r="I610" s="1"/>
      <c r="J610" s="7"/>
      <c r="K610" s="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8:30" ht="13.5" customHeight="1">
      <c r="H611" s="11"/>
      <c r="I611" s="1"/>
      <c r="J611" s="7"/>
      <c r="K611" s="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8:30" ht="13.5" customHeight="1">
      <c r="H612" s="11"/>
      <c r="I612" s="1"/>
      <c r="J612" s="7"/>
      <c r="K612" s="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8:30" ht="13.5" customHeight="1">
      <c r="H613" s="11"/>
      <c r="I613" s="1"/>
      <c r="J613" s="7"/>
      <c r="K613" s="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8:30" ht="13.5" customHeight="1">
      <c r="H614" s="11"/>
      <c r="I614" s="1"/>
      <c r="J614" s="7"/>
      <c r="K614" s="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8:30" ht="13.5" customHeight="1">
      <c r="H615" s="11"/>
      <c r="I615" s="1"/>
      <c r="J615" s="7"/>
      <c r="K615" s="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8:30" ht="13.5" customHeight="1">
      <c r="H616" s="11"/>
      <c r="I616" s="1"/>
      <c r="J616" s="7"/>
      <c r="K616" s="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8:30" ht="13.5" customHeight="1">
      <c r="H617" s="11"/>
      <c r="I617" s="1"/>
      <c r="J617" s="7"/>
      <c r="K617" s="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8:30" ht="13.5" customHeight="1">
      <c r="H618" s="11"/>
      <c r="I618" s="1"/>
      <c r="J618" s="7"/>
      <c r="K618" s="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8:30" ht="13.5" customHeight="1">
      <c r="H619" s="11"/>
      <c r="I619" s="1"/>
      <c r="J619" s="7"/>
      <c r="K619" s="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8:30" ht="13.5" customHeight="1">
      <c r="H620" s="11"/>
      <c r="I620" s="1"/>
      <c r="J620" s="7"/>
      <c r="K620" s="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8:30" ht="13.5" customHeight="1">
      <c r="H621" s="11"/>
      <c r="I621" s="1"/>
      <c r="J621" s="7"/>
      <c r="K621" s="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8:30" ht="13.5" customHeight="1">
      <c r="H622" s="11"/>
      <c r="I622" s="1"/>
      <c r="J622" s="7"/>
      <c r="K622" s="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8:30" ht="13.5" customHeight="1">
      <c r="H623" s="11"/>
      <c r="I623" s="1"/>
      <c r="J623" s="7"/>
      <c r="K623" s="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8:30" ht="13.5" customHeight="1">
      <c r="H624" s="11"/>
      <c r="I624" s="1"/>
      <c r="J624" s="7"/>
      <c r="K624" s="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8:30" ht="13.5" customHeight="1">
      <c r="H625" s="11"/>
      <c r="I625" s="1"/>
      <c r="J625" s="7"/>
      <c r="K625" s="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8:30" ht="13.5" customHeight="1">
      <c r="H626" s="11"/>
      <c r="I626" s="1"/>
      <c r="J626" s="7"/>
      <c r="K626" s="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8:30" ht="13.5" customHeight="1">
      <c r="H627" s="11"/>
      <c r="I627" s="1"/>
      <c r="J627" s="7"/>
      <c r="K627" s="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8:30" ht="13.5" customHeight="1">
      <c r="H628" s="11"/>
      <c r="I628" s="1"/>
      <c r="J628" s="7"/>
      <c r="K628" s="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8:30" ht="13.5" customHeight="1">
      <c r="H629" s="11"/>
      <c r="I629" s="1"/>
      <c r="J629" s="7"/>
      <c r="K629" s="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8:30" ht="13.5" customHeight="1">
      <c r="H630" s="11"/>
      <c r="I630" s="1"/>
      <c r="J630" s="7"/>
      <c r="K630" s="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8:30" ht="13.5" customHeight="1">
      <c r="H631" s="11"/>
      <c r="I631" s="1"/>
      <c r="J631" s="7"/>
      <c r="K631" s="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8:30" ht="13.5" customHeight="1">
      <c r="H632" s="11"/>
      <c r="I632" s="1"/>
      <c r="J632" s="7"/>
      <c r="K632" s="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8:30" ht="13.5" customHeight="1">
      <c r="H633" s="11"/>
      <c r="I633" s="1"/>
      <c r="J633" s="7"/>
      <c r="K633" s="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8:30" ht="13.5" customHeight="1">
      <c r="H634" s="11"/>
      <c r="I634" s="1"/>
      <c r="J634" s="7"/>
      <c r="K634" s="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8:30" ht="13.5" customHeight="1">
      <c r="H635" s="11"/>
      <c r="I635" s="1"/>
      <c r="J635" s="7"/>
      <c r="K635" s="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8:30" ht="13.5" customHeight="1">
      <c r="H636" s="11"/>
      <c r="I636" s="1"/>
      <c r="J636" s="7"/>
      <c r="K636" s="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8:30" ht="13.5" customHeight="1">
      <c r="H637" s="11"/>
      <c r="I637" s="1"/>
      <c r="J637" s="7"/>
      <c r="K637" s="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8:30" ht="13.5" customHeight="1">
      <c r="H638" s="11"/>
      <c r="I638" s="1"/>
      <c r="J638" s="7"/>
      <c r="K638" s="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8:30" ht="13.5" customHeight="1">
      <c r="H639" s="11"/>
      <c r="I639" s="1"/>
      <c r="J639" s="7"/>
      <c r="K639" s="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8:30" ht="13.5" customHeight="1">
      <c r="H640" s="11"/>
      <c r="I640" s="1"/>
      <c r="J640" s="7"/>
      <c r="K640" s="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8:30" ht="13.5" customHeight="1">
      <c r="H641" s="11"/>
      <c r="I641" s="1"/>
      <c r="J641" s="7"/>
      <c r="K641" s="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8:30" ht="13.5" customHeight="1">
      <c r="H642" s="11"/>
      <c r="I642" s="1"/>
      <c r="J642" s="7"/>
      <c r="K642" s="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8:30" ht="13.5" customHeight="1">
      <c r="H643" s="11"/>
      <c r="I643" s="1"/>
      <c r="J643" s="7"/>
      <c r="K643" s="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8:30" ht="13.5" customHeight="1">
      <c r="H644" s="11"/>
      <c r="I644" s="1"/>
      <c r="J644" s="7"/>
      <c r="K644" s="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8:30" ht="13.5" customHeight="1">
      <c r="H645" s="11"/>
      <c r="I645" s="1"/>
      <c r="J645" s="7"/>
      <c r="K645" s="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8:30" ht="13.5" customHeight="1">
      <c r="H646" s="11"/>
      <c r="I646" s="1"/>
      <c r="J646" s="7"/>
      <c r="K646" s="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8:30" ht="13.5" customHeight="1">
      <c r="H647" s="11"/>
      <c r="I647" s="1"/>
      <c r="J647" s="7"/>
      <c r="K647" s="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8:30" ht="13.5" customHeight="1">
      <c r="H648" s="11"/>
      <c r="I648" s="1"/>
      <c r="J648" s="7"/>
      <c r="K648" s="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8:30" ht="13.5" customHeight="1">
      <c r="H649" s="11"/>
      <c r="I649" s="1"/>
      <c r="J649" s="7"/>
      <c r="K649" s="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8:30" ht="13.5" customHeight="1">
      <c r="H650" s="11"/>
      <c r="I650" s="1"/>
      <c r="J650" s="7"/>
      <c r="K650" s="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8:30" ht="13.5" customHeight="1">
      <c r="H651" s="11"/>
      <c r="I651" s="1"/>
      <c r="J651" s="7"/>
      <c r="K651" s="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8:30" ht="13.5" customHeight="1">
      <c r="H652" s="11"/>
      <c r="I652" s="1"/>
      <c r="J652" s="7"/>
      <c r="K652" s="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8:30" ht="13.5" customHeight="1">
      <c r="H653" s="11"/>
      <c r="I653" s="1"/>
      <c r="J653" s="7"/>
      <c r="K653" s="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8:30" ht="13.5" customHeight="1">
      <c r="H654" s="11"/>
      <c r="I654" s="1"/>
      <c r="J654" s="7"/>
      <c r="K654" s="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8:30" ht="13.5" customHeight="1">
      <c r="H655" s="11"/>
      <c r="I655" s="1"/>
      <c r="J655" s="7"/>
      <c r="K655" s="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8:30" ht="13.5" customHeight="1">
      <c r="H656" s="11"/>
      <c r="I656" s="1"/>
      <c r="J656" s="7"/>
      <c r="K656" s="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8:30" ht="13.5" customHeight="1">
      <c r="H657" s="11"/>
      <c r="I657" s="1"/>
      <c r="J657" s="7"/>
      <c r="K657" s="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8:30" ht="13.5" customHeight="1">
      <c r="H658" s="11"/>
      <c r="I658" s="1"/>
      <c r="J658" s="7"/>
      <c r="K658" s="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8:30" ht="13.5" customHeight="1">
      <c r="H659" s="11"/>
      <c r="I659" s="1"/>
      <c r="J659" s="7"/>
      <c r="K659" s="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8:30" ht="13.5" customHeight="1">
      <c r="H660" s="11"/>
      <c r="I660" s="1"/>
      <c r="J660" s="7"/>
      <c r="K660" s="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8:30" ht="13.5" customHeight="1">
      <c r="H661" s="11"/>
      <c r="I661" s="1"/>
      <c r="J661" s="7"/>
      <c r="K661" s="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8:30" ht="13.5" customHeight="1">
      <c r="H662" s="11"/>
      <c r="I662" s="1"/>
      <c r="J662" s="7"/>
      <c r="K662" s="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8:30" ht="13.5" customHeight="1">
      <c r="H663" s="11"/>
      <c r="I663" s="1"/>
      <c r="J663" s="7"/>
      <c r="K663" s="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8:30" ht="13.5" customHeight="1">
      <c r="H664" s="11"/>
      <c r="I664" s="1"/>
      <c r="J664" s="7"/>
      <c r="K664" s="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8:30" ht="13.5" customHeight="1">
      <c r="H665" s="11"/>
      <c r="I665" s="1"/>
      <c r="J665" s="7"/>
      <c r="K665" s="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8:30" ht="13.5" customHeight="1">
      <c r="H666" s="11"/>
      <c r="I666" s="1"/>
      <c r="J666" s="7"/>
      <c r="K666" s="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8:30" ht="13.5" customHeight="1">
      <c r="H667" s="11"/>
      <c r="I667" s="1"/>
      <c r="J667" s="7"/>
      <c r="K667" s="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8:30" ht="13.5" customHeight="1">
      <c r="H668" s="11"/>
      <c r="I668" s="1"/>
      <c r="J668" s="7"/>
      <c r="K668" s="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8:30" ht="13.5" customHeight="1">
      <c r="H669" s="11"/>
      <c r="I669" s="1"/>
      <c r="J669" s="7"/>
      <c r="K669" s="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8:30" ht="13.5" customHeight="1">
      <c r="H670" s="11"/>
      <c r="I670" s="1"/>
      <c r="J670" s="7"/>
      <c r="K670" s="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8:30" ht="13.5" customHeight="1">
      <c r="H671" s="11"/>
      <c r="I671" s="1"/>
      <c r="J671" s="7"/>
      <c r="K671" s="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8:30" ht="13.5" customHeight="1">
      <c r="H672" s="11"/>
      <c r="I672" s="1"/>
      <c r="J672" s="7"/>
      <c r="K672" s="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8:30" ht="13.5" customHeight="1">
      <c r="H673" s="11"/>
      <c r="I673" s="1"/>
      <c r="J673" s="7"/>
      <c r="K673" s="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8:30" ht="13.5" customHeight="1">
      <c r="H674" s="11"/>
      <c r="I674" s="1"/>
      <c r="J674" s="7"/>
      <c r="K674" s="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8:30" ht="13.5" customHeight="1">
      <c r="H675" s="11"/>
      <c r="I675" s="1"/>
      <c r="J675" s="7"/>
      <c r="K675" s="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8:30" ht="13.5" customHeight="1">
      <c r="H676" s="11"/>
      <c r="I676" s="1"/>
      <c r="J676" s="7"/>
      <c r="K676" s="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8:30" ht="13.5" customHeight="1">
      <c r="H677" s="11"/>
      <c r="I677" s="1"/>
      <c r="J677" s="7"/>
      <c r="K677" s="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8:30" ht="13.5" customHeight="1">
      <c r="H678" s="11"/>
      <c r="I678" s="1"/>
      <c r="J678" s="7"/>
      <c r="K678" s="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8:30" ht="13.5" customHeight="1">
      <c r="H679" s="11"/>
      <c r="I679" s="1"/>
      <c r="J679" s="7"/>
      <c r="K679" s="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8:30" ht="13.5" customHeight="1">
      <c r="H680" s="11"/>
      <c r="I680" s="1"/>
      <c r="J680" s="7"/>
      <c r="K680" s="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8:30" ht="13.5" customHeight="1">
      <c r="H681" s="11"/>
      <c r="I681" s="1"/>
      <c r="J681" s="7"/>
      <c r="K681" s="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8:30" ht="13.5" customHeight="1">
      <c r="H682" s="11"/>
      <c r="I682" s="1"/>
      <c r="J682" s="7"/>
      <c r="K682" s="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8:30" ht="13.5" customHeight="1">
      <c r="H683" s="11"/>
      <c r="I683" s="1"/>
      <c r="J683" s="7"/>
      <c r="K683" s="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8:30" ht="13.5" customHeight="1">
      <c r="H684" s="11"/>
      <c r="I684" s="1"/>
      <c r="J684" s="7"/>
      <c r="K684" s="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8:30" ht="13.5" customHeight="1">
      <c r="H685" s="11"/>
      <c r="I685" s="1"/>
      <c r="J685" s="7"/>
      <c r="K685" s="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8:30" ht="13.5" customHeight="1">
      <c r="H686" s="11"/>
      <c r="I686" s="1"/>
      <c r="J686" s="7"/>
      <c r="K686" s="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8:30" ht="13.5" customHeight="1">
      <c r="H687" s="11"/>
      <c r="I687" s="1"/>
      <c r="J687" s="7"/>
      <c r="K687" s="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8:30" ht="13.5" customHeight="1">
      <c r="H688" s="11"/>
      <c r="I688" s="1"/>
      <c r="J688" s="7"/>
      <c r="K688" s="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8:30" ht="13.5" customHeight="1">
      <c r="H689" s="11"/>
      <c r="I689" s="1"/>
      <c r="J689" s="7"/>
      <c r="K689" s="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8:30" ht="13.5" customHeight="1">
      <c r="H690" s="11"/>
      <c r="I690" s="1"/>
      <c r="J690" s="7"/>
      <c r="K690" s="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8:30" ht="13.5" customHeight="1">
      <c r="H691" s="11"/>
      <c r="I691" s="1"/>
      <c r="J691" s="7"/>
      <c r="K691" s="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8:30" ht="13.5" customHeight="1">
      <c r="H692" s="11"/>
      <c r="I692" s="1"/>
      <c r="J692" s="7"/>
      <c r="K692" s="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8:30" ht="13.5" customHeight="1">
      <c r="H693" s="11"/>
      <c r="I693" s="1"/>
      <c r="J693" s="7"/>
      <c r="K693" s="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8:30" ht="13.5" customHeight="1">
      <c r="H694" s="11"/>
      <c r="I694" s="1"/>
      <c r="J694" s="7"/>
      <c r="K694" s="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8:30" ht="13.5" customHeight="1">
      <c r="H695" s="11"/>
      <c r="I695" s="1"/>
      <c r="J695" s="7"/>
      <c r="K695" s="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8:30" ht="13.5" customHeight="1">
      <c r="H696" s="11"/>
      <c r="I696" s="1"/>
      <c r="J696" s="7"/>
      <c r="K696" s="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8:30" ht="13.5" customHeight="1">
      <c r="H697" s="11"/>
      <c r="I697" s="1"/>
      <c r="J697" s="7"/>
      <c r="K697" s="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8:30" ht="13.5" customHeight="1">
      <c r="H698" s="11"/>
      <c r="I698" s="1"/>
      <c r="J698" s="7"/>
      <c r="K698" s="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8:30" ht="13.5" customHeight="1">
      <c r="H699" s="11"/>
      <c r="I699" s="1"/>
      <c r="J699" s="7"/>
      <c r="K699" s="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8:30" ht="13.5" customHeight="1">
      <c r="H700" s="11"/>
      <c r="I700" s="1"/>
      <c r="J700" s="7"/>
      <c r="K700" s="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8:30" ht="13.5" customHeight="1">
      <c r="H701" s="11"/>
      <c r="I701" s="1"/>
      <c r="J701" s="7"/>
      <c r="K701" s="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8:30" ht="13.5" customHeight="1">
      <c r="H702" s="11"/>
      <c r="I702" s="1"/>
      <c r="J702" s="7"/>
      <c r="K702" s="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8:30" ht="13.5" customHeight="1">
      <c r="H703" s="11"/>
      <c r="I703" s="1"/>
      <c r="J703" s="7"/>
      <c r="K703" s="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8:30" ht="13.5" customHeight="1">
      <c r="H704" s="11"/>
      <c r="I704" s="1"/>
      <c r="J704" s="7"/>
      <c r="K704" s="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8:30" ht="13.5" customHeight="1">
      <c r="H705" s="11"/>
      <c r="I705" s="1"/>
      <c r="J705" s="7"/>
      <c r="K705" s="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8:30" ht="13.5" customHeight="1">
      <c r="H706" s="11"/>
      <c r="I706" s="1"/>
      <c r="J706" s="7"/>
      <c r="K706" s="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8:30" ht="13.5" customHeight="1">
      <c r="H707" s="11"/>
      <c r="I707" s="1"/>
      <c r="J707" s="7"/>
      <c r="K707" s="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8:30" ht="13.5" customHeight="1">
      <c r="H708" s="11"/>
      <c r="I708" s="1"/>
      <c r="J708" s="7"/>
      <c r="K708" s="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8:30" ht="13.5" customHeight="1">
      <c r="H709" s="11"/>
      <c r="I709" s="1"/>
      <c r="J709" s="7"/>
      <c r="K709" s="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8:30" ht="13.5" customHeight="1">
      <c r="H710" s="11"/>
      <c r="I710" s="1"/>
      <c r="J710" s="7"/>
      <c r="K710" s="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8:30" ht="13.5" customHeight="1">
      <c r="H711" s="11"/>
      <c r="I711" s="1"/>
      <c r="J711" s="7"/>
      <c r="K711" s="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8:30" ht="13.5" customHeight="1">
      <c r="H712" s="11"/>
      <c r="I712" s="1"/>
      <c r="J712" s="7"/>
      <c r="K712" s="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8:30" ht="13.5" customHeight="1">
      <c r="H713" s="11"/>
      <c r="I713" s="1"/>
      <c r="J713" s="7"/>
      <c r="K713" s="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8:30" ht="13.5" customHeight="1">
      <c r="H714" s="11"/>
      <c r="I714" s="1"/>
      <c r="J714" s="7"/>
      <c r="K714" s="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8:30" ht="13.5" customHeight="1">
      <c r="H715" s="11"/>
      <c r="I715" s="1"/>
      <c r="J715" s="7"/>
      <c r="K715" s="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8:30" ht="13.5" customHeight="1">
      <c r="H716" s="11"/>
      <c r="I716" s="1"/>
      <c r="J716" s="7"/>
      <c r="K716" s="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8:30" ht="13.5" customHeight="1">
      <c r="H717" s="11"/>
      <c r="I717" s="1"/>
      <c r="J717" s="7"/>
      <c r="K717" s="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8:30" ht="13.5" customHeight="1">
      <c r="H718" s="11"/>
      <c r="I718" s="1"/>
      <c r="J718" s="7"/>
      <c r="K718" s="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8:30" ht="13.5" customHeight="1">
      <c r="H719" s="11"/>
      <c r="I719" s="1"/>
      <c r="J719" s="7"/>
      <c r="K719" s="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8:30" ht="13.5" customHeight="1">
      <c r="H720" s="11"/>
      <c r="I720" s="1"/>
      <c r="J720" s="7"/>
      <c r="K720" s="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8:30" ht="13.5" customHeight="1">
      <c r="H721" s="11"/>
      <c r="I721" s="1"/>
      <c r="J721" s="7"/>
      <c r="K721" s="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8:30" ht="13.5" customHeight="1">
      <c r="H722" s="11"/>
      <c r="I722" s="1"/>
      <c r="J722" s="7"/>
      <c r="K722" s="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8:30" ht="13.5" customHeight="1">
      <c r="H723" s="11"/>
      <c r="I723" s="1"/>
      <c r="J723" s="7"/>
      <c r="K723" s="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8:30" ht="13.5" customHeight="1">
      <c r="H724" s="11"/>
      <c r="I724" s="1"/>
      <c r="J724" s="7"/>
      <c r="K724" s="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8:30" ht="13.5" customHeight="1">
      <c r="H725" s="11"/>
      <c r="I725" s="1"/>
      <c r="J725" s="7"/>
      <c r="K725" s="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8:30" ht="13.5" customHeight="1">
      <c r="H726" s="11"/>
      <c r="I726" s="1"/>
      <c r="J726" s="7"/>
      <c r="K726" s="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8:30" ht="13.5" customHeight="1">
      <c r="H727" s="11"/>
      <c r="I727" s="1"/>
      <c r="J727" s="7"/>
      <c r="K727" s="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8:30" ht="13.5" customHeight="1">
      <c r="H728" s="11"/>
      <c r="I728" s="1"/>
      <c r="J728" s="7"/>
      <c r="K728" s="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8:30" ht="13.5" customHeight="1">
      <c r="H729" s="11"/>
      <c r="I729" s="1"/>
      <c r="J729" s="7"/>
      <c r="K729" s="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8:30" ht="13.5" customHeight="1">
      <c r="H730" s="11"/>
      <c r="I730" s="1"/>
      <c r="J730" s="7"/>
      <c r="K730" s="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8:30" ht="13.5" customHeight="1">
      <c r="H731" s="11"/>
      <c r="I731" s="1"/>
      <c r="J731" s="7"/>
      <c r="K731" s="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8:30" ht="13.5" customHeight="1">
      <c r="H732" s="11"/>
      <c r="I732" s="1"/>
      <c r="J732" s="7"/>
      <c r="K732" s="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8:30" ht="13.5" customHeight="1">
      <c r="H733" s="11"/>
      <c r="I733" s="1"/>
      <c r="J733" s="7"/>
      <c r="K733" s="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8:30" ht="13.5" customHeight="1">
      <c r="H734" s="11"/>
      <c r="I734" s="1"/>
      <c r="J734" s="7"/>
      <c r="K734" s="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8:30" ht="13.5" customHeight="1">
      <c r="H735" s="11"/>
      <c r="I735" s="1"/>
      <c r="J735" s="7"/>
      <c r="K735" s="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8:30" ht="13.5" customHeight="1">
      <c r="H736" s="11"/>
      <c r="I736" s="1"/>
      <c r="J736" s="7"/>
      <c r="K736" s="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8:30" ht="13.5" customHeight="1">
      <c r="H737" s="11"/>
      <c r="I737" s="1"/>
      <c r="J737" s="7"/>
      <c r="K737" s="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8:30" ht="13.5" customHeight="1">
      <c r="H738" s="11"/>
      <c r="I738" s="1"/>
      <c r="J738" s="7"/>
      <c r="K738" s="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8:30" ht="13.5" customHeight="1">
      <c r="H739" s="11"/>
      <c r="I739" s="1"/>
      <c r="J739" s="7"/>
      <c r="K739" s="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8:30" ht="13.5" customHeight="1">
      <c r="H740" s="11"/>
      <c r="I740" s="1"/>
      <c r="J740" s="7"/>
      <c r="K740" s="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8:30" ht="13.5" customHeight="1">
      <c r="H741" s="11"/>
      <c r="I741" s="1"/>
      <c r="J741" s="7"/>
      <c r="K741" s="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8:30" ht="13.5" customHeight="1">
      <c r="H742" s="11"/>
      <c r="I742" s="1"/>
      <c r="J742" s="7"/>
      <c r="K742" s="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8:30" ht="13.5" customHeight="1">
      <c r="H743" s="11"/>
      <c r="I743" s="1"/>
      <c r="J743" s="7"/>
      <c r="K743" s="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8:30" ht="13.5" customHeight="1">
      <c r="H744" s="11"/>
      <c r="I744" s="1"/>
      <c r="J744" s="7"/>
      <c r="K744" s="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8:30" ht="13.5" customHeight="1">
      <c r="H745" s="11"/>
      <c r="I745" s="1"/>
      <c r="J745" s="7"/>
      <c r="K745" s="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8:30" ht="13.5" customHeight="1">
      <c r="H746" s="11"/>
      <c r="I746" s="1"/>
      <c r="J746" s="7"/>
      <c r="K746" s="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8:30" ht="13.5" customHeight="1">
      <c r="H747" s="11"/>
      <c r="I747" s="1"/>
      <c r="J747" s="7"/>
      <c r="K747" s="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8:30" ht="13.5" customHeight="1">
      <c r="H748" s="11"/>
      <c r="I748" s="1"/>
      <c r="J748" s="7"/>
      <c r="K748" s="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8:30" ht="13.5" customHeight="1">
      <c r="H749" s="11"/>
      <c r="I749" s="1"/>
      <c r="J749" s="7"/>
      <c r="K749" s="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8:30" ht="13.5" customHeight="1">
      <c r="H750" s="11"/>
      <c r="I750" s="1"/>
      <c r="J750" s="7"/>
      <c r="K750" s="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8:30" ht="13.5" customHeight="1">
      <c r="H751" s="11"/>
      <c r="I751" s="1"/>
      <c r="J751" s="7"/>
      <c r="K751" s="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8:30" ht="13.5" customHeight="1">
      <c r="H752" s="11"/>
      <c r="I752" s="1"/>
      <c r="J752" s="7"/>
      <c r="K752" s="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8:30" ht="13.5" customHeight="1">
      <c r="H753" s="11"/>
      <c r="I753" s="1"/>
      <c r="J753" s="7"/>
      <c r="K753" s="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8:30" ht="13.5" customHeight="1">
      <c r="H754" s="11"/>
      <c r="I754" s="1"/>
      <c r="J754" s="7"/>
      <c r="K754" s="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8:30" ht="13.5" customHeight="1">
      <c r="H755" s="11"/>
      <c r="I755" s="1"/>
      <c r="J755" s="7"/>
      <c r="K755" s="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8:30" ht="13.5" customHeight="1">
      <c r="H756" s="11"/>
      <c r="I756" s="1"/>
      <c r="J756" s="7"/>
      <c r="K756" s="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8:30" ht="13.5" customHeight="1">
      <c r="H757" s="11"/>
      <c r="I757" s="1"/>
      <c r="J757" s="7"/>
      <c r="K757" s="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8:30" ht="13.5" customHeight="1">
      <c r="H758" s="11"/>
      <c r="I758" s="1"/>
      <c r="J758" s="7"/>
      <c r="K758" s="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8:30" ht="13.5" customHeight="1">
      <c r="H759" s="11"/>
      <c r="I759" s="1"/>
      <c r="J759" s="7"/>
      <c r="K759" s="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8:30" ht="13.5" customHeight="1">
      <c r="H760" s="11"/>
      <c r="I760" s="1"/>
      <c r="J760" s="7"/>
      <c r="K760" s="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8:30" ht="13.5" customHeight="1">
      <c r="H761" s="11"/>
      <c r="I761" s="1"/>
      <c r="J761" s="7"/>
      <c r="K761" s="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8:30" ht="13.5" customHeight="1">
      <c r="H762" s="11"/>
      <c r="I762" s="1"/>
      <c r="J762" s="7"/>
      <c r="K762" s="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8:30" ht="13.5" customHeight="1">
      <c r="H763" s="11"/>
      <c r="I763" s="1"/>
      <c r="J763" s="7"/>
      <c r="K763" s="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8:30" ht="13.5" customHeight="1">
      <c r="H764" s="11"/>
      <c r="I764" s="1"/>
      <c r="J764" s="7"/>
      <c r="K764" s="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8:30" ht="13.5" customHeight="1">
      <c r="H765" s="11"/>
      <c r="I765" s="1"/>
      <c r="J765" s="7"/>
      <c r="K765" s="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8:30" ht="13.5" customHeight="1">
      <c r="H766" s="11"/>
      <c r="I766" s="1"/>
      <c r="J766" s="7"/>
      <c r="K766" s="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8:30" ht="13.5" customHeight="1">
      <c r="H767" s="11"/>
      <c r="I767" s="1"/>
      <c r="J767" s="7"/>
      <c r="K767" s="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8:30" ht="13.5" customHeight="1">
      <c r="H768" s="11"/>
      <c r="I768" s="1"/>
      <c r="J768" s="7"/>
      <c r="K768" s="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8:30" ht="13.5" customHeight="1">
      <c r="H769" s="11"/>
      <c r="I769" s="1"/>
      <c r="J769" s="7"/>
      <c r="K769" s="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8:30" ht="13.5" customHeight="1">
      <c r="H770" s="11"/>
      <c r="I770" s="1"/>
      <c r="J770" s="7"/>
      <c r="K770" s="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8:30" ht="13.5" customHeight="1">
      <c r="H771" s="11"/>
      <c r="I771" s="1"/>
      <c r="J771" s="7"/>
      <c r="K771" s="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8:30" ht="13.5" customHeight="1">
      <c r="H772" s="11"/>
      <c r="I772" s="1"/>
      <c r="J772" s="7"/>
      <c r="K772" s="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8:30" ht="13.5" customHeight="1">
      <c r="H773" s="11"/>
      <c r="I773" s="1"/>
      <c r="J773" s="7"/>
      <c r="K773" s="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8:30" ht="13.5" customHeight="1">
      <c r="H774" s="11"/>
      <c r="I774" s="1"/>
      <c r="J774" s="7"/>
      <c r="K774" s="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8:30" ht="13.5" customHeight="1">
      <c r="H775" s="11"/>
      <c r="I775" s="1"/>
      <c r="J775" s="7"/>
      <c r="K775" s="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8:30" ht="13.5" customHeight="1">
      <c r="H776" s="11"/>
      <c r="I776" s="1"/>
      <c r="J776" s="7"/>
      <c r="K776" s="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8:30" ht="13.5" customHeight="1">
      <c r="H777" s="11"/>
      <c r="I777" s="1"/>
      <c r="J777" s="7"/>
      <c r="K777" s="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8:30" ht="13.5" customHeight="1">
      <c r="H778" s="11"/>
      <c r="I778" s="1"/>
      <c r="J778" s="7"/>
      <c r="K778" s="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8:30" ht="13.5" customHeight="1">
      <c r="H779" s="11"/>
      <c r="I779" s="1"/>
      <c r="J779" s="7"/>
      <c r="K779" s="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8:30" ht="13.5" customHeight="1">
      <c r="H780" s="11"/>
      <c r="I780" s="1"/>
      <c r="J780" s="7"/>
      <c r="K780" s="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8:30" ht="13.5" customHeight="1">
      <c r="H781" s="11"/>
      <c r="I781" s="1"/>
      <c r="J781" s="7"/>
      <c r="K781" s="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8:30" ht="13.5" customHeight="1">
      <c r="H782" s="11"/>
      <c r="I782" s="1"/>
      <c r="J782" s="7"/>
      <c r="K782" s="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8:30" ht="13.5" customHeight="1">
      <c r="H783" s="11"/>
      <c r="I783" s="1"/>
      <c r="J783" s="7"/>
      <c r="K783" s="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8:30" ht="13.5" customHeight="1">
      <c r="H784" s="11"/>
      <c r="I784" s="1"/>
      <c r="J784" s="7"/>
      <c r="K784" s="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8:30" ht="13.5" customHeight="1">
      <c r="H785" s="11"/>
      <c r="I785" s="1"/>
      <c r="J785" s="7"/>
      <c r="K785" s="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8:30" ht="13.5" customHeight="1">
      <c r="H786" s="11"/>
      <c r="I786" s="1"/>
      <c r="J786" s="7"/>
      <c r="K786" s="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8:30" ht="13.5" customHeight="1">
      <c r="H787" s="11"/>
      <c r="I787" s="1"/>
      <c r="J787" s="7"/>
      <c r="K787" s="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</sheetData>
  <autoFilter ref="A4:AD787" xr:uid="{E6BBE2B9-384F-433B-9206-0CBA6B8F2943}"/>
  <conditionalFormatting sqref="A6 A49:A50">
    <cfRule type="duplicateValues" dxfId="138" priority="138"/>
  </conditionalFormatting>
  <conditionalFormatting sqref="A7">
    <cfRule type="duplicateValues" dxfId="137" priority="39"/>
  </conditionalFormatting>
  <conditionalFormatting sqref="A14">
    <cfRule type="duplicateValues" dxfId="136" priority="38"/>
  </conditionalFormatting>
  <conditionalFormatting sqref="A21">
    <cfRule type="duplicateValues" dxfId="135" priority="35"/>
  </conditionalFormatting>
  <conditionalFormatting sqref="A28">
    <cfRule type="duplicateValues" dxfId="134" priority="23"/>
  </conditionalFormatting>
  <conditionalFormatting sqref="A35">
    <cfRule type="duplicateValues" dxfId="133" priority="22"/>
  </conditionalFormatting>
  <conditionalFormatting sqref="A42">
    <cfRule type="duplicateValues" dxfId="132" priority="21"/>
  </conditionalFormatting>
  <conditionalFormatting sqref="A57">
    <cfRule type="duplicateValues" dxfId="131" priority="20"/>
  </conditionalFormatting>
  <conditionalFormatting sqref="A64">
    <cfRule type="duplicateValues" dxfId="130" priority="19"/>
  </conditionalFormatting>
  <conditionalFormatting sqref="A71">
    <cfRule type="duplicateValues" dxfId="129" priority="18"/>
  </conditionalFormatting>
  <conditionalFormatting sqref="A78">
    <cfRule type="duplicateValues" dxfId="128" priority="17"/>
  </conditionalFormatting>
  <conditionalFormatting sqref="A85">
    <cfRule type="duplicateValues" dxfId="127" priority="16"/>
  </conditionalFormatting>
  <conditionalFormatting sqref="A92">
    <cfRule type="duplicateValues" dxfId="126" priority="15"/>
  </conditionalFormatting>
  <conditionalFormatting sqref="A99">
    <cfRule type="duplicateValues" dxfId="125" priority="14"/>
  </conditionalFormatting>
  <conditionalFormatting sqref="A106">
    <cfRule type="duplicateValues" dxfId="124" priority="12"/>
  </conditionalFormatting>
  <conditionalFormatting sqref="A113">
    <cfRule type="duplicateValues" dxfId="123" priority="10"/>
  </conditionalFormatting>
  <conditionalFormatting sqref="A120">
    <cfRule type="duplicateValues" dxfId="122" priority="8"/>
  </conditionalFormatting>
  <conditionalFormatting sqref="A127">
    <cfRule type="duplicateValues" dxfId="121" priority="6"/>
  </conditionalFormatting>
  <conditionalFormatting sqref="B6 B49:B50">
    <cfRule type="duplicateValues" dxfId="120" priority="141"/>
  </conditionalFormatting>
  <conditionalFormatting sqref="B7">
    <cfRule type="duplicateValues" dxfId="119" priority="37"/>
  </conditionalFormatting>
  <conditionalFormatting sqref="B14">
    <cfRule type="duplicateValues" dxfId="118" priority="36"/>
  </conditionalFormatting>
  <conditionalFormatting sqref="B21">
    <cfRule type="duplicateValues" dxfId="117" priority="34"/>
  </conditionalFormatting>
  <conditionalFormatting sqref="B28">
    <cfRule type="duplicateValues" dxfId="116" priority="33"/>
  </conditionalFormatting>
  <conditionalFormatting sqref="B35">
    <cfRule type="duplicateValues" dxfId="115" priority="32"/>
  </conditionalFormatting>
  <conditionalFormatting sqref="B42">
    <cfRule type="duplicateValues" dxfId="114" priority="31"/>
  </conditionalFormatting>
  <conditionalFormatting sqref="B57">
    <cfRule type="duplicateValues" dxfId="113" priority="30"/>
  </conditionalFormatting>
  <conditionalFormatting sqref="B64">
    <cfRule type="duplicateValues" dxfId="112" priority="29"/>
  </conditionalFormatting>
  <conditionalFormatting sqref="B71">
    <cfRule type="duplicateValues" dxfId="111" priority="28"/>
  </conditionalFormatting>
  <conditionalFormatting sqref="B78">
    <cfRule type="duplicateValues" dxfId="110" priority="27"/>
  </conditionalFormatting>
  <conditionalFormatting sqref="B85">
    <cfRule type="duplicateValues" dxfId="109" priority="26"/>
  </conditionalFormatting>
  <conditionalFormatting sqref="B92">
    <cfRule type="duplicateValues" dxfId="108" priority="25"/>
  </conditionalFormatting>
  <conditionalFormatting sqref="B99">
    <cfRule type="duplicateValues" dxfId="107" priority="24"/>
  </conditionalFormatting>
  <conditionalFormatting sqref="B106">
    <cfRule type="duplicateValues" dxfId="106" priority="13"/>
  </conditionalFormatting>
  <conditionalFormatting sqref="B113">
    <cfRule type="duplicateValues" dxfId="105" priority="11"/>
  </conditionalFormatting>
  <conditionalFormatting sqref="B120">
    <cfRule type="duplicateValues" dxfId="104" priority="9"/>
  </conditionalFormatting>
  <conditionalFormatting sqref="B127">
    <cfRule type="duplicateValues" dxfId="103" priority="7"/>
  </conditionalFormatting>
  <conditionalFormatting sqref="C7:E7">
    <cfRule type="duplicateValues" dxfId="102" priority="123"/>
  </conditionalFormatting>
  <conditionalFormatting sqref="C14:E14">
    <cfRule type="duplicateValues" dxfId="101" priority="120"/>
  </conditionalFormatting>
  <conditionalFormatting sqref="C28:E28">
    <cfRule type="duplicateValues" dxfId="100" priority="111"/>
  </conditionalFormatting>
  <conditionalFormatting sqref="C35:E35">
    <cfRule type="duplicateValues" dxfId="99" priority="107"/>
  </conditionalFormatting>
  <conditionalFormatting sqref="C42:E42">
    <cfRule type="duplicateValues" dxfId="98" priority="103"/>
  </conditionalFormatting>
  <conditionalFormatting sqref="C57:E57">
    <cfRule type="duplicateValues" dxfId="97" priority="99"/>
  </conditionalFormatting>
  <conditionalFormatting sqref="C64:E64">
    <cfRule type="duplicateValues" dxfId="96" priority="95"/>
  </conditionalFormatting>
  <conditionalFormatting sqref="C71:E71">
    <cfRule type="duplicateValues" dxfId="95" priority="91"/>
  </conditionalFormatting>
  <conditionalFormatting sqref="C78:E78">
    <cfRule type="duplicateValues" dxfId="94" priority="87"/>
  </conditionalFormatting>
  <conditionalFormatting sqref="C85:E85">
    <cfRule type="duplicateValues" dxfId="93" priority="83"/>
  </conditionalFormatting>
  <conditionalFormatting sqref="C92:E92">
    <cfRule type="duplicateValues" dxfId="92" priority="79"/>
  </conditionalFormatting>
  <conditionalFormatting sqref="C99:E99">
    <cfRule type="duplicateValues" dxfId="91" priority="75"/>
  </conditionalFormatting>
  <conditionalFormatting sqref="C106:E106">
    <cfRule type="duplicateValues" dxfId="90" priority="61"/>
  </conditionalFormatting>
  <conditionalFormatting sqref="C113:E113">
    <cfRule type="duplicateValues" dxfId="89" priority="56"/>
  </conditionalFormatting>
  <conditionalFormatting sqref="C120:E120">
    <cfRule type="duplicateValues" dxfId="88" priority="51"/>
  </conditionalFormatting>
  <conditionalFormatting sqref="C127:E127">
    <cfRule type="duplicateValues" dxfId="87" priority="46"/>
  </conditionalFormatting>
  <conditionalFormatting sqref="F6:G6 F49:G49">
    <cfRule type="duplicateValues" dxfId="86" priority="144"/>
  </conditionalFormatting>
  <conditionalFormatting sqref="F7:G7">
    <cfRule type="duplicateValues" dxfId="85" priority="121"/>
  </conditionalFormatting>
  <conditionalFormatting sqref="F14:G14">
    <cfRule type="duplicateValues" dxfId="84" priority="118"/>
  </conditionalFormatting>
  <conditionalFormatting sqref="F21:G21">
    <cfRule type="duplicateValues" dxfId="83" priority="113"/>
  </conditionalFormatting>
  <conditionalFormatting sqref="F28:G28">
    <cfRule type="duplicateValues" dxfId="82" priority="109"/>
  </conditionalFormatting>
  <conditionalFormatting sqref="F35:G35">
    <cfRule type="duplicateValues" dxfId="81" priority="105"/>
  </conditionalFormatting>
  <conditionalFormatting sqref="F42:G42">
    <cfRule type="duplicateValues" dxfId="80" priority="101"/>
  </conditionalFormatting>
  <conditionalFormatting sqref="F50:G50">
    <cfRule type="duplicateValues" dxfId="79" priority="124"/>
  </conditionalFormatting>
  <conditionalFormatting sqref="F57:G57">
    <cfRule type="duplicateValues" dxfId="78" priority="97"/>
  </conditionalFormatting>
  <conditionalFormatting sqref="F64:G64">
    <cfRule type="duplicateValues" dxfId="77" priority="93"/>
  </conditionalFormatting>
  <conditionalFormatting sqref="F71:G71">
    <cfRule type="duplicateValues" dxfId="76" priority="89"/>
  </conditionalFormatting>
  <conditionalFormatting sqref="F78:G78">
    <cfRule type="duplicateValues" dxfId="75" priority="85"/>
  </conditionalFormatting>
  <conditionalFormatting sqref="F85:G85">
    <cfRule type="duplicateValues" dxfId="74" priority="81"/>
  </conditionalFormatting>
  <conditionalFormatting sqref="F92:G92">
    <cfRule type="duplicateValues" dxfId="73" priority="77"/>
  </conditionalFormatting>
  <conditionalFormatting sqref="F99:G99">
    <cfRule type="duplicateValues" dxfId="72" priority="73"/>
  </conditionalFormatting>
  <conditionalFormatting sqref="F106:G106">
    <cfRule type="duplicateValues" dxfId="71" priority="59"/>
  </conditionalFormatting>
  <conditionalFormatting sqref="F113:G113">
    <cfRule type="duplicateValues" dxfId="70" priority="54"/>
  </conditionalFormatting>
  <conditionalFormatting sqref="F120:G120">
    <cfRule type="duplicateValues" dxfId="69" priority="49"/>
  </conditionalFormatting>
  <conditionalFormatting sqref="F127:G127">
    <cfRule type="duplicateValues" dxfId="68" priority="44"/>
  </conditionalFormatting>
  <conditionalFormatting sqref="H6 C6:E6 H49 C49:E50">
    <cfRule type="duplicateValues" dxfId="67" priority="132"/>
  </conditionalFormatting>
  <conditionalFormatting sqref="H7">
    <cfRule type="duplicateValues" dxfId="66" priority="3"/>
  </conditionalFormatting>
  <conditionalFormatting sqref="H14">
    <cfRule type="duplicateValues" dxfId="65" priority="2"/>
  </conditionalFormatting>
  <conditionalFormatting sqref="H21 C21:E21">
    <cfRule type="duplicateValues" dxfId="64" priority="115"/>
  </conditionalFormatting>
  <conditionalFormatting sqref="H28">
    <cfRule type="duplicateValues" dxfId="63" priority="71"/>
  </conditionalFormatting>
  <conditionalFormatting sqref="H35">
    <cfRule type="duplicateValues" dxfId="62" priority="70"/>
  </conditionalFormatting>
  <conditionalFormatting sqref="H42">
    <cfRule type="duplicateValues" dxfId="61" priority="69"/>
  </conditionalFormatting>
  <conditionalFormatting sqref="H50">
    <cfRule type="duplicateValues" dxfId="60" priority="1"/>
  </conditionalFormatting>
  <conditionalFormatting sqref="H57">
    <cfRule type="duplicateValues" dxfId="59" priority="68"/>
  </conditionalFormatting>
  <conditionalFormatting sqref="H64">
    <cfRule type="duplicateValues" dxfId="58" priority="67"/>
  </conditionalFormatting>
  <conditionalFormatting sqref="H71">
    <cfRule type="duplicateValues" dxfId="57" priority="66"/>
  </conditionalFormatting>
  <conditionalFormatting sqref="H78">
    <cfRule type="duplicateValues" dxfId="56" priority="65"/>
  </conditionalFormatting>
  <conditionalFormatting sqref="H85">
    <cfRule type="duplicateValues" dxfId="55" priority="64"/>
  </conditionalFormatting>
  <conditionalFormatting sqref="H92">
    <cfRule type="duplicateValues" dxfId="54" priority="63"/>
  </conditionalFormatting>
  <conditionalFormatting sqref="H99">
    <cfRule type="duplicateValues" dxfId="53" priority="62"/>
  </conditionalFormatting>
  <conditionalFormatting sqref="H106">
    <cfRule type="duplicateValues" dxfId="52" priority="57"/>
  </conditionalFormatting>
  <conditionalFormatting sqref="H113">
    <cfRule type="duplicateValues" dxfId="51" priority="52"/>
  </conditionalFormatting>
  <conditionalFormatting sqref="H120">
    <cfRule type="duplicateValues" dxfId="50" priority="47"/>
  </conditionalFormatting>
  <conditionalFormatting sqref="H127">
    <cfRule type="duplicateValues" dxfId="49" priority="42"/>
  </conditionalFormatting>
  <conditionalFormatting sqref="I7">
    <cfRule type="duplicateValues" dxfId="48" priority="117"/>
  </conditionalFormatting>
  <conditionalFormatting sqref="I14">
    <cfRule type="duplicateValues" dxfId="47" priority="116"/>
  </conditionalFormatting>
  <conditionalFormatting sqref="I21">
    <cfRule type="duplicateValues" dxfId="46" priority="112"/>
  </conditionalFormatting>
  <conditionalFormatting sqref="I28">
    <cfRule type="duplicateValues" dxfId="45" priority="108"/>
  </conditionalFormatting>
  <conditionalFormatting sqref="I35">
    <cfRule type="duplicateValues" dxfId="44" priority="104"/>
  </conditionalFormatting>
  <conditionalFormatting sqref="I42">
    <cfRule type="duplicateValues" dxfId="43" priority="100"/>
  </conditionalFormatting>
  <conditionalFormatting sqref="I57">
    <cfRule type="duplicateValues" dxfId="42" priority="96"/>
  </conditionalFormatting>
  <conditionalFormatting sqref="I64">
    <cfRule type="duplicateValues" dxfId="41" priority="92"/>
  </conditionalFormatting>
  <conditionalFormatting sqref="I71">
    <cfRule type="duplicateValues" dxfId="40" priority="88"/>
  </conditionalFormatting>
  <conditionalFormatting sqref="I78">
    <cfRule type="duplicateValues" dxfId="39" priority="84"/>
  </conditionalFormatting>
  <conditionalFormatting sqref="I85">
    <cfRule type="duplicateValues" dxfId="38" priority="80"/>
  </conditionalFormatting>
  <conditionalFormatting sqref="I92">
    <cfRule type="duplicateValues" dxfId="37" priority="76"/>
  </conditionalFormatting>
  <conditionalFormatting sqref="I99">
    <cfRule type="duplicateValues" dxfId="36" priority="72"/>
  </conditionalFormatting>
  <conditionalFormatting sqref="I106">
    <cfRule type="duplicateValues" dxfId="35" priority="58"/>
  </conditionalFormatting>
  <conditionalFormatting sqref="I113">
    <cfRule type="duplicateValues" dxfId="34" priority="53"/>
  </conditionalFormatting>
  <conditionalFormatting sqref="I120">
    <cfRule type="duplicateValues" dxfId="33" priority="48"/>
  </conditionalFormatting>
  <conditionalFormatting sqref="I127">
    <cfRule type="duplicateValues" dxfId="32" priority="43"/>
  </conditionalFormatting>
  <conditionalFormatting sqref="I6:K6 I49:K49">
    <cfRule type="duplicateValues" dxfId="31" priority="146"/>
  </conditionalFormatting>
  <conditionalFormatting sqref="I50:K50">
    <cfRule type="duplicateValues" dxfId="30" priority="125"/>
  </conditionalFormatting>
  <conditionalFormatting sqref="J7:K7">
    <cfRule type="duplicateValues" dxfId="29" priority="122"/>
  </conditionalFormatting>
  <conditionalFormatting sqref="J14:K14">
    <cfRule type="duplicateValues" dxfId="28" priority="119"/>
  </conditionalFormatting>
  <conditionalFormatting sqref="J21:K21">
    <cfRule type="duplicateValues" dxfId="27" priority="114"/>
  </conditionalFormatting>
  <conditionalFormatting sqref="J28:K28">
    <cfRule type="duplicateValues" dxfId="26" priority="110"/>
  </conditionalFormatting>
  <conditionalFormatting sqref="J35:K35">
    <cfRule type="duplicateValues" dxfId="25" priority="106"/>
  </conditionalFormatting>
  <conditionalFormatting sqref="J42:K42">
    <cfRule type="duplicateValues" dxfId="24" priority="102"/>
  </conditionalFormatting>
  <conditionalFormatting sqref="J57:K57">
    <cfRule type="duplicateValues" dxfId="23" priority="98"/>
  </conditionalFormatting>
  <conditionalFormatting sqref="J64:K64">
    <cfRule type="duplicateValues" dxfId="22" priority="94"/>
  </conditionalFormatting>
  <conditionalFormatting sqref="J71:K71">
    <cfRule type="duplicateValues" dxfId="21" priority="90"/>
  </conditionalFormatting>
  <conditionalFormatting sqref="J78:K78">
    <cfRule type="duplicateValues" dxfId="20" priority="86"/>
  </conditionalFormatting>
  <conditionalFormatting sqref="J85:K85">
    <cfRule type="duplicateValues" dxfId="19" priority="82"/>
  </conditionalFormatting>
  <conditionalFormatting sqref="J92:K92">
    <cfRule type="duplicateValues" dxfId="18" priority="78"/>
  </conditionalFormatting>
  <conditionalFormatting sqref="J99:K99">
    <cfRule type="duplicateValues" dxfId="17" priority="74"/>
  </conditionalFormatting>
  <conditionalFormatting sqref="J106:K106">
    <cfRule type="duplicateValues" dxfId="16" priority="60"/>
  </conditionalFormatting>
  <conditionalFormatting sqref="J113:K113">
    <cfRule type="duplicateValues" dxfId="15" priority="55"/>
  </conditionalFormatting>
  <conditionalFormatting sqref="J120:K120">
    <cfRule type="duplicateValues" dxfId="14" priority="50"/>
  </conditionalFormatting>
  <conditionalFormatting sqref="J127:K127">
    <cfRule type="duplicateValues" dxfId="13" priority="45"/>
  </conditionalFormatting>
  <pageMargins left="0.69930555555555596" right="0.69930555555555596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17365D"/>
  </sheetPr>
  <dimension ref="A1:Z1000"/>
  <sheetViews>
    <sheetView workbookViewId="0"/>
  </sheetViews>
  <sheetFormatPr defaultColWidth="12.59765625" defaultRowHeight="15" customHeight="1"/>
  <cols>
    <col min="1" max="1" width="7.296875" customWidth="1"/>
    <col min="2" max="2" width="11.19921875" customWidth="1"/>
    <col min="3" max="3" width="23.796875" customWidth="1"/>
    <col min="4" max="4" width="6.796875" customWidth="1"/>
    <col min="5" max="5" width="8.69921875" customWidth="1"/>
    <col min="6" max="6" width="12.09765625" customWidth="1"/>
    <col min="7" max="26" width="8.19921875" customWidth="1"/>
  </cols>
  <sheetData>
    <row r="1" spans="1:26" ht="13.5" customHeight="1">
      <c r="A1" s="11"/>
      <c r="B1" s="2" t="s">
        <v>309</v>
      </c>
      <c r="C1" s="7"/>
      <c r="D1" s="1"/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7"/>
      <c r="C2" s="7"/>
      <c r="D2" s="1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"/>
      <c r="B3" s="19" t="s">
        <v>310</v>
      </c>
      <c r="C3" s="20" t="s">
        <v>311</v>
      </c>
      <c r="D3" s="21" t="s">
        <v>28</v>
      </c>
      <c r="E3" s="21" t="s">
        <v>265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"/>
      <c r="B4" s="22" t="s">
        <v>312</v>
      </c>
      <c r="C4" s="10" t="s">
        <v>313</v>
      </c>
      <c r="D4" s="8"/>
      <c r="E4" s="8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"/>
      <c r="B5" s="50" t="s">
        <v>314</v>
      </c>
      <c r="C5" s="23" t="s">
        <v>315</v>
      </c>
      <c r="D5" s="24" t="s">
        <v>30</v>
      </c>
      <c r="E5" s="24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"/>
      <c r="B6" s="25" t="s">
        <v>316</v>
      </c>
      <c r="C6" s="26" t="s">
        <v>317</v>
      </c>
      <c r="D6" s="5" t="s">
        <v>30</v>
      </c>
      <c r="E6" s="5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"/>
      <c r="B7" s="27" t="s">
        <v>318</v>
      </c>
      <c r="C7" s="10" t="s">
        <v>317</v>
      </c>
      <c r="D7" s="5"/>
      <c r="E7" s="5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"/>
      <c r="B8" s="25" t="s">
        <v>319</v>
      </c>
      <c r="C8" s="26" t="s">
        <v>320</v>
      </c>
      <c r="D8" s="5" t="s">
        <v>30</v>
      </c>
      <c r="E8" s="5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"/>
      <c r="B9" s="27" t="s">
        <v>321</v>
      </c>
      <c r="C9" s="10" t="s">
        <v>322</v>
      </c>
      <c r="D9" s="5"/>
      <c r="E9" s="5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"/>
      <c r="B10" s="27" t="s">
        <v>323</v>
      </c>
      <c r="C10" s="10" t="s">
        <v>324</v>
      </c>
      <c r="D10" s="5"/>
      <c r="E10" s="5">
        <v>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25" t="s">
        <v>325</v>
      </c>
      <c r="C11" s="26" t="s">
        <v>326</v>
      </c>
      <c r="D11" s="5" t="s">
        <v>30</v>
      </c>
      <c r="E11" s="5">
        <v>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"/>
      <c r="B12" s="27" t="s">
        <v>327</v>
      </c>
      <c r="C12" s="10" t="s">
        <v>328</v>
      </c>
      <c r="D12" s="5"/>
      <c r="E12" s="5">
        <v>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27" t="s">
        <v>329</v>
      </c>
      <c r="C13" s="10" t="s">
        <v>330</v>
      </c>
      <c r="D13" s="5"/>
      <c r="E13" s="5">
        <v>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27" t="s">
        <v>331</v>
      </c>
      <c r="C14" s="10" t="s">
        <v>332</v>
      </c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"/>
      <c r="B15" s="23" t="s">
        <v>333</v>
      </c>
      <c r="C15" s="23" t="s">
        <v>334</v>
      </c>
      <c r="D15" s="24" t="s">
        <v>30</v>
      </c>
      <c r="E15" s="24">
        <v>1</v>
      </c>
      <c r="F15" s="2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25" t="s">
        <v>335</v>
      </c>
      <c r="C16" s="26" t="s">
        <v>336</v>
      </c>
      <c r="D16" s="28" t="s">
        <v>30</v>
      </c>
      <c r="E16" s="5">
        <v>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27" t="s">
        <v>337</v>
      </c>
      <c r="C17" s="10" t="s">
        <v>336</v>
      </c>
      <c r="D17" s="5"/>
      <c r="E17" s="5">
        <v>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25" t="s">
        <v>338</v>
      </c>
      <c r="C18" s="26" t="s">
        <v>339</v>
      </c>
      <c r="D18" s="5" t="s">
        <v>30</v>
      </c>
      <c r="E18" s="5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27" t="s">
        <v>340</v>
      </c>
      <c r="C19" s="10" t="s">
        <v>341</v>
      </c>
      <c r="D19" s="5"/>
      <c r="E19" s="5">
        <v>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27" t="s">
        <v>342</v>
      </c>
      <c r="C20" s="10" t="s">
        <v>343</v>
      </c>
      <c r="D20" s="5"/>
      <c r="E20" s="5">
        <v>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27" t="s">
        <v>344</v>
      </c>
      <c r="C21" s="10" t="s">
        <v>345</v>
      </c>
      <c r="D21" s="5"/>
      <c r="E21" s="5">
        <v>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27" t="s">
        <v>346</v>
      </c>
      <c r="C22" s="10" t="s">
        <v>347</v>
      </c>
      <c r="D22" s="5"/>
      <c r="E22" s="5">
        <v>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25" t="s">
        <v>348</v>
      </c>
      <c r="C23" s="26" t="s">
        <v>349</v>
      </c>
      <c r="D23" s="5" t="s">
        <v>30</v>
      </c>
      <c r="E23" s="5">
        <v>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27" t="s">
        <v>350</v>
      </c>
      <c r="C24" s="10" t="s">
        <v>351</v>
      </c>
      <c r="D24" s="5"/>
      <c r="E24" s="5">
        <v>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27" t="s">
        <v>352</v>
      </c>
      <c r="C25" s="10" t="s">
        <v>353</v>
      </c>
      <c r="D25" s="5"/>
      <c r="E25" s="5">
        <v>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27"/>
      <c r="C26" s="10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23" t="s">
        <v>354</v>
      </c>
      <c r="C27" s="23" t="s">
        <v>355</v>
      </c>
      <c r="D27" s="24" t="s">
        <v>30</v>
      </c>
      <c r="E27" s="24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25" t="s">
        <v>356</v>
      </c>
      <c r="C28" s="26" t="s">
        <v>357</v>
      </c>
      <c r="D28" s="5" t="s">
        <v>30</v>
      </c>
      <c r="E28" s="5">
        <v>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27" t="s">
        <v>358</v>
      </c>
      <c r="C29" s="10" t="s">
        <v>359</v>
      </c>
      <c r="D29" s="5"/>
      <c r="E29" s="5">
        <v>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25" t="s">
        <v>360</v>
      </c>
      <c r="C30" s="26" t="s">
        <v>361</v>
      </c>
      <c r="D30" s="5" t="s">
        <v>30</v>
      </c>
      <c r="E30" s="5">
        <v>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27" t="s">
        <v>362</v>
      </c>
      <c r="C31" s="10" t="s">
        <v>363</v>
      </c>
      <c r="D31" s="5" t="s">
        <v>30</v>
      </c>
      <c r="E31" s="5">
        <v>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3" t="s">
        <v>364</v>
      </c>
      <c r="C32" s="23" t="s">
        <v>365</v>
      </c>
      <c r="D32" s="5" t="s">
        <v>30</v>
      </c>
      <c r="E32" s="5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5" t="s">
        <v>366</v>
      </c>
      <c r="C33" s="26" t="s">
        <v>365</v>
      </c>
      <c r="D33" s="5" t="s">
        <v>30</v>
      </c>
      <c r="E33" s="5">
        <v>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5">
        <v>4101</v>
      </c>
      <c r="C34" s="10" t="s">
        <v>365</v>
      </c>
      <c r="D34" s="5"/>
      <c r="E34" s="5">
        <v>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5"/>
      <c r="C35" s="5"/>
      <c r="D35" s="5"/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7"/>
      <c r="C36" s="7"/>
      <c r="D36" s="7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7"/>
      <c r="C37" s="7"/>
      <c r="D37" s="7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7"/>
      <c r="C38" s="7"/>
      <c r="D38" s="7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7"/>
      <c r="C39" s="7"/>
      <c r="D39" s="7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7"/>
      <c r="C40" s="7"/>
      <c r="D40" s="7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7"/>
      <c r="C41" s="7"/>
      <c r="D41" s="7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7"/>
      <c r="C42" s="7"/>
      <c r="D42" s="7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7"/>
      <c r="C43" s="7"/>
      <c r="D43" s="7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7"/>
      <c r="C44" s="7"/>
      <c r="D44" s="7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7"/>
      <c r="C45" s="7"/>
      <c r="D45" s="7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7"/>
      <c r="C46" s="7"/>
      <c r="D46" s="7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7"/>
      <c r="C47" s="7"/>
      <c r="D47" s="7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7"/>
      <c r="C48" s="7"/>
      <c r="D48" s="7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7"/>
      <c r="C49" s="7"/>
      <c r="D49" s="7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7"/>
      <c r="C50" s="7"/>
      <c r="D50" s="7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7"/>
      <c r="C51" s="7"/>
      <c r="D51" s="7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7"/>
      <c r="C52" s="7"/>
      <c r="D52" s="7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7"/>
      <c r="C53" s="7"/>
      <c r="D53" s="7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7"/>
      <c r="C54" s="7"/>
      <c r="D54" s="7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7"/>
      <c r="C55" s="7"/>
      <c r="D55" s="7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7"/>
      <c r="C56" s="7"/>
      <c r="D56" s="7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7"/>
      <c r="C57" s="7"/>
      <c r="D57" s="7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7"/>
      <c r="C58" s="7"/>
      <c r="D58" s="7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7"/>
      <c r="C59" s="7"/>
      <c r="D59" s="7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7"/>
      <c r="C60" s="7"/>
      <c r="D60" s="7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7"/>
      <c r="C61" s="7"/>
      <c r="D61" s="7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7"/>
      <c r="C62" s="7"/>
      <c r="D62" s="7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7"/>
      <c r="C63" s="7"/>
      <c r="D63" s="7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7"/>
      <c r="C64" s="7"/>
      <c r="D64" s="7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7"/>
      <c r="C65" s="7"/>
      <c r="D65" s="7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7"/>
      <c r="C66" s="7"/>
      <c r="D66" s="7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7"/>
      <c r="C67" s="7"/>
      <c r="D67" s="7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7"/>
      <c r="C68" s="7"/>
      <c r="D68" s="7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7"/>
      <c r="C69" s="7"/>
      <c r="D69" s="7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7"/>
      <c r="C70" s="7"/>
      <c r="D70" s="7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7"/>
      <c r="C71" s="7"/>
      <c r="D71" s="7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7"/>
      <c r="C72" s="7"/>
      <c r="D72" s="7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7"/>
      <c r="C73" s="7"/>
      <c r="D73" s="7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7"/>
      <c r="C74" s="7"/>
      <c r="D74" s="7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7"/>
      <c r="C75" s="7"/>
      <c r="D75" s="7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7"/>
      <c r="C76" s="7"/>
      <c r="D76" s="7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7"/>
      <c r="C77" s="7"/>
      <c r="D77" s="7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7"/>
      <c r="C78" s="7"/>
      <c r="D78" s="7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7"/>
      <c r="C79" s="7"/>
      <c r="D79" s="7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7"/>
      <c r="C80" s="7"/>
      <c r="D80" s="7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7"/>
      <c r="C81" s="7"/>
      <c r="D81" s="7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7"/>
      <c r="C82" s="7"/>
      <c r="D82" s="7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7"/>
      <c r="C83" s="7"/>
      <c r="D83" s="7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7"/>
      <c r="C84" s="7"/>
      <c r="D84" s="7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7"/>
      <c r="C85" s="7"/>
      <c r="D85" s="7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7"/>
      <c r="C86" s="7"/>
      <c r="D86" s="7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7"/>
      <c r="C87" s="7"/>
      <c r="D87" s="7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7"/>
      <c r="C88" s="7"/>
      <c r="D88" s="7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7"/>
      <c r="C89" s="7"/>
      <c r="D89" s="7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7"/>
      <c r="C90" s="7"/>
      <c r="D90" s="7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7"/>
      <c r="C91" s="7"/>
      <c r="D91" s="7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7"/>
      <c r="C92" s="7"/>
      <c r="D92" s="7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7"/>
      <c r="C93" s="7"/>
      <c r="D93" s="7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7"/>
      <c r="C94" s="7"/>
      <c r="D94" s="7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7"/>
      <c r="C95" s="7"/>
      <c r="D95" s="7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7"/>
      <c r="C96" s="7"/>
      <c r="D96" s="7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7"/>
      <c r="C97" s="7"/>
      <c r="D97" s="7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7"/>
      <c r="C98" s="7"/>
      <c r="D98" s="7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7"/>
      <c r="C99" s="7"/>
      <c r="D99" s="7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7"/>
      <c r="C100" s="7"/>
      <c r="D100" s="7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7"/>
      <c r="C101" s="7"/>
      <c r="D101" s="7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7"/>
      <c r="C102" s="7"/>
      <c r="D102" s="7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7"/>
      <c r="C103" s="7"/>
      <c r="D103" s="7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7"/>
      <c r="C104" s="7"/>
      <c r="D104" s="7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7"/>
      <c r="C105" s="7"/>
      <c r="D105" s="7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7"/>
      <c r="C106" s="7"/>
      <c r="D106" s="7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7"/>
      <c r="C107" s="7"/>
      <c r="D107" s="7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7"/>
      <c r="C108" s="7"/>
      <c r="D108" s="7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7"/>
      <c r="C109" s="7"/>
      <c r="D109" s="7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7"/>
      <c r="C110" s="7"/>
      <c r="D110" s="7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7"/>
      <c r="C111" s="7"/>
      <c r="D111" s="7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7"/>
      <c r="C112" s="7"/>
      <c r="D112" s="7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7"/>
      <c r="C113" s="7"/>
      <c r="D113" s="7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7"/>
      <c r="C114" s="7"/>
      <c r="D114" s="7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7"/>
      <c r="C115" s="7"/>
      <c r="D115" s="7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7"/>
      <c r="C116" s="7"/>
      <c r="D116" s="7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7"/>
      <c r="C117" s="7"/>
      <c r="D117" s="7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7"/>
      <c r="C118" s="7"/>
      <c r="D118" s="7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7"/>
      <c r="C119" s="7"/>
      <c r="D119" s="7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7"/>
      <c r="C120" s="7"/>
      <c r="D120" s="7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7"/>
      <c r="C121" s="7"/>
      <c r="D121" s="7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7"/>
      <c r="C122" s="7"/>
      <c r="D122" s="7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7"/>
      <c r="C123" s="7"/>
      <c r="D123" s="7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7"/>
      <c r="C124" s="7"/>
      <c r="D124" s="7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7"/>
      <c r="C125" s="7"/>
      <c r="D125" s="7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7"/>
      <c r="C126" s="7"/>
      <c r="D126" s="7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7"/>
      <c r="C127" s="7"/>
      <c r="D127" s="7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7"/>
      <c r="C128" s="7"/>
      <c r="D128" s="7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7"/>
      <c r="C129" s="7"/>
      <c r="D129" s="7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7"/>
      <c r="C130" s="7"/>
      <c r="D130" s="7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7"/>
      <c r="C131" s="7"/>
      <c r="D131" s="7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7"/>
      <c r="C132" s="7"/>
      <c r="D132" s="7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7"/>
      <c r="C133" s="7"/>
      <c r="D133" s="7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7"/>
      <c r="C134" s="7"/>
      <c r="D134" s="7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7"/>
      <c r="C135" s="7"/>
      <c r="D135" s="7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7"/>
      <c r="C136" s="7"/>
      <c r="D136" s="7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7"/>
      <c r="C137" s="7"/>
      <c r="D137" s="7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7"/>
      <c r="C138" s="7"/>
      <c r="D138" s="7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7"/>
      <c r="C139" s="7"/>
      <c r="D139" s="7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7"/>
      <c r="C140" s="7"/>
      <c r="D140" s="7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7"/>
      <c r="C141" s="7"/>
      <c r="D141" s="7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7"/>
      <c r="C142" s="7"/>
      <c r="D142" s="7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7"/>
      <c r="C143" s="7"/>
      <c r="D143" s="7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7"/>
      <c r="C144" s="7"/>
      <c r="D144" s="7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7"/>
      <c r="C145" s="7"/>
      <c r="D145" s="7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7"/>
      <c r="C146" s="7"/>
      <c r="D146" s="7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7"/>
      <c r="C147" s="7"/>
      <c r="D147" s="7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7"/>
      <c r="C148" s="7"/>
      <c r="D148" s="7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7"/>
      <c r="C149" s="7"/>
      <c r="D149" s="7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7"/>
      <c r="C150" s="7"/>
      <c r="D150" s="7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7"/>
      <c r="C151" s="7"/>
      <c r="D151" s="7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7"/>
      <c r="C152" s="7"/>
      <c r="D152" s="7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7"/>
      <c r="C153" s="7"/>
      <c r="D153" s="7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7"/>
      <c r="C154" s="7"/>
      <c r="D154" s="7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7"/>
      <c r="C155" s="7"/>
      <c r="D155" s="7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7"/>
      <c r="C156" s="7"/>
      <c r="D156" s="7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7"/>
      <c r="C157" s="7"/>
      <c r="D157" s="7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7"/>
      <c r="C158" s="7"/>
      <c r="D158" s="7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7"/>
      <c r="C159" s="7"/>
      <c r="D159" s="7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7"/>
      <c r="C160" s="7"/>
      <c r="D160" s="7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7"/>
      <c r="C161" s="7"/>
      <c r="D161" s="7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7"/>
      <c r="C162" s="7"/>
      <c r="D162" s="7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7"/>
      <c r="C163" s="7"/>
      <c r="D163" s="7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7"/>
      <c r="C164" s="7"/>
      <c r="D164" s="7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7"/>
      <c r="C165" s="7"/>
      <c r="D165" s="7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7"/>
      <c r="C166" s="7"/>
      <c r="D166" s="7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7"/>
      <c r="C167" s="7"/>
      <c r="D167" s="7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7"/>
      <c r="C168" s="7"/>
      <c r="D168" s="7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7"/>
      <c r="C169" s="7"/>
      <c r="D169" s="7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7"/>
      <c r="C170" s="7"/>
      <c r="D170" s="7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7"/>
      <c r="C171" s="7"/>
      <c r="D171" s="7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7"/>
      <c r="C172" s="7"/>
      <c r="D172" s="7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7"/>
      <c r="C173" s="7"/>
      <c r="D173" s="7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7"/>
      <c r="C174" s="7"/>
      <c r="D174" s="7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7"/>
      <c r="C175" s="7"/>
      <c r="D175" s="7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7"/>
      <c r="C176" s="7"/>
      <c r="D176" s="7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7"/>
      <c r="C177" s="7"/>
      <c r="D177" s="7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7"/>
      <c r="C178" s="7"/>
      <c r="D178" s="7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7"/>
      <c r="C179" s="7"/>
      <c r="D179" s="7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7"/>
      <c r="C180" s="7"/>
      <c r="D180" s="7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7"/>
      <c r="C181" s="7"/>
      <c r="D181" s="7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7"/>
      <c r="C182" s="7"/>
      <c r="D182" s="7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7"/>
      <c r="C183" s="7"/>
      <c r="D183" s="7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7"/>
      <c r="C184" s="7"/>
      <c r="D184" s="7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7"/>
      <c r="C185" s="7"/>
      <c r="D185" s="7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7"/>
      <c r="C186" s="7"/>
      <c r="D186" s="7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7"/>
      <c r="C187" s="7"/>
      <c r="D187" s="7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7"/>
      <c r="C188" s="7"/>
      <c r="D188" s="7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7"/>
      <c r="C189" s="7"/>
      <c r="D189" s="7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7"/>
      <c r="C190" s="7"/>
      <c r="D190" s="7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7"/>
      <c r="C191" s="7"/>
      <c r="D191" s="7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7"/>
      <c r="C192" s="7"/>
      <c r="D192" s="7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7"/>
      <c r="C193" s="7"/>
      <c r="D193" s="7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7"/>
      <c r="C194" s="7"/>
      <c r="D194" s="7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7"/>
      <c r="C195" s="7"/>
      <c r="D195" s="7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7"/>
      <c r="C196" s="7"/>
      <c r="D196" s="7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7"/>
      <c r="C197" s="7"/>
      <c r="D197" s="7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7"/>
      <c r="C198" s="7"/>
      <c r="D198" s="7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7"/>
      <c r="C199" s="7"/>
      <c r="D199" s="7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7"/>
      <c r="C200" s="7"/>
      <c r="D200" s="7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7"/>
      <c r="C201" s="7"/>
      <c r="D201" s="7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7"/>
      <c r="C202" s="7"/>
      <c r="D202" s="7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7"/>
      <c r="C203" s="7"/>
      <c r="D203" s="7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7"/>
      <c r="C204" s="7"/>
      <c r="D204" s="7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7"/>
      <c r="C205" s="7"/>
      <c r="D205" s="7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7"/>
      <c r="C206" s="7"/>
      <c r="D206" s="7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7"/>
      <c r="C207" s="7"/>
      <c r="D207" s="7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7"/>
      <c r="C208" s="7"/>
      <c r="D208" s="7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7"/>
      <c r="C209" s="7"/>
      <c r="D209" s="7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7"/>
      <c r="C210" s="7"/>
      <c r="D210" s="7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7"/>
      <c r="C211" s="7"/>
      <c r="D211" s="7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7"/>
      <c r="C212" s="7"/>
      <c r="D212" s="7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7"/>
      <c r="C213" s="7"/>
      <c r="D213" s="7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7"/>
      <c r="C214" s="7"/>
      <c r="D214" s="7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7"/>
      <c r="C215" s="7"/>
      <c r="D215" s="7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7"/>
      <c r="C216" s="7"/>
      <c r="D216" s="7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7"/>
      <c r="C217" s="7"/>
      <c r="D217" s="7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7"/>
      <c r="C218" s="7"/>
      <c r="D218" s="7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7"/>
      <c r="C219" s="7"/>
      <c r="D219" s="7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7"/>
      <c r="C220" s="7"/>
      <c r="D220" s="7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7"/>
      <c r="C221" s="7"/>
      <c r="D221" s="7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7"/>
      <c r="C222" s="7"/>
      <c r="D222" s="7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7"/>
      <c r="C223" s="7"/>
      <c r="D223" s="7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7"/>
      <c r="C224" s="7"/>
      <c r="D224" s="7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7"/>
      <c r="C225" s="7"/>
      <c r="D225" s="7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7"/>
      <c r="C226" s="7"/>
      <c r="D226" s="7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7"/>
      <c r="C227" s="7"/>
      <c r="D227" s="7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7"/>
      <c r="C228" s="7"/>
      <c r="D228" s="7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7"/>
      <c r="C229" s="7"/>
      <c r="D229" s="7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7"/>
      <c r="C230" s="7"/>
      <c r="D230" s="7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7"/>
      <c r="C231" s="7"/>
      <c r="D231" s="7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7"/>
      <c r="C232" s="7"/>
      <c r="D232" s="7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7"/>
      <c r="C233" s="7"/>
      <c r="D233" s="7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7"/>
      <c r="C234" s="7"/>
      <c r="D234" s="7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7"/>
      <c r="C235" s="7"/>
      <c r="D235" s="7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7"/>
      <c r="C236" s="7"/>
      <c r="D236" s="7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7"/>
      <c r="C237" s="7"/>
      <c r="D237" s="7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7"/>
      <c r="C238" s="7"/>
      <c r="D238" s="7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7"/>
      <c r="C239" s="7"/>
      <c r="D239" s="7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7"/>
      <c r="C240" s="7"/>
      <c r="D240" s="7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7"/>
      <c r="C241" s="7"/>
      <c r="D241" s="7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7"/>
      <c r="C242" s="7"/>
      <c r="D242" s="7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7"/>
      <c r="C243" s="7"/>
      <c r="D243" s="7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7"/>
      <c r="C244" s="7"/>
      <c r="D244" s="7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7"/>
      <c r="C245" s="7"/>
      <c r="D245" s="7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7"/>
      <c r="C246" s="7"/>
      <c r="D246" s="7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7"/>
      <c r="C247" s="7"/>
      <c r="D247" s="7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7"/>
      <c r="C248" s="7"/>
      <c r="D248" s="7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7"/>
      <c r="C249" s="7"/>
      <c r="D249" s="7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7"/>
      <c r="C250" s="7"/>
      <c r="D250" s="7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7"/>
      <c r="C251" s="7"/>
      <c r="D251" s="7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7"/>
      <c r="C252" s="7"/>
      <c r="D252" s="7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7"/>
      <c r="C253" s="7"/>
      <c r="D253" s="7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7"/>
      <c r="C254" s="7"/>
      <c r="D254" s="7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7"/>
      <c r="C255" s="7"/>
      <c r="D255" s="7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7"/>
      <c r="C256" s="7"/>
      <c r="D256" s="7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7"/>
      <c r="C257" s="7"/>
      <c r="D257" s="7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7"/>
      <c r="C258" s="7"/>
      <c r="D258" s="7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7"/>
      <c r="C259" s="7"/>
      <c r="D259" s="7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7"/>
      <c r="C260" s="7"/>
      <c r="D260" s="7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7"/>
      <c r="C261" s="7"/>
      <c r="D261" s="7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7"/>
      <c r="C262" s="7"/>
      <c r="D262" s="7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7"/>
      <c r="C263" s="7"/>
      <c r="D263" s="7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7"/>
      <c r="C264" s="7"/>
      <c r="D264" s="7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7"/>
      <c r="C265" s="7"/>
      <c r="D265" s="7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7"/>
      <c r="C266" s="7"/>
      <c r="D266" s="7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7"/>
      <c r="C267" s="7"/>
      <c r="D267" s="7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7"/>
      <c r="C268" s="7"/>
      <c r="D268" s="7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7"/>
      <c r="C269" s="7"/>
      <c r="D269" s="7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7"/>
      <c r="C270" s="7"/>
      <c r="D270" s="7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7"/>
      <c r="C271" s="7"/>
      <c r="D271" s="7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7"/>
      <c r="C272" s="7"/>
      <c r="D272" s="7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7"/>
      <c r="C273" s="7"/>
      <c r="D273" s="7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7"/>
      <c r="C274" s="7"/>
      <c r="D274" s="7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7"/>
      <c r="C275" s="7"/>
      <c r="D275" s="7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7"/>
      <c r="C276" s="7"/>
      <c r="D276" s="7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7"/>
      <c r="C277" s="7"/>
      <c r="D277" s="7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7"/>
      <c r="C278" s="7"/>
      <c r="D278" s="7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7"/>
      <c r="C279" s="7"/>
      <c r="D279" s="7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7"/>
      <c r="C280" s="7"/>
      <c r="D280" s="7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7"/>
      <c r="C281" s="7"/>
      <c r="D281" s="7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7"/>
      <c r="C282" s="7"/>
      <c r="D282" s="7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7"/>
      <c r="C283" s="7"/>
      <c r="D283" s="7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7"/>
      <c r="C284" s="7"/>
      <c r="D284" s="7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7"/>
      <c r="C285" s="7"/>
      <c r="D285" s="7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7"/>
      <c r="C286" s="7"/>
      <c r="D286" s="7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7"/>
      <c r="C287" s="7"/>
      <c r="D287" s="7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7"/>
      <c r="C288" s="7"/>
      <c r="D288" s="7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7"/>
      <c r="C289" s="7"/>
      <c r="D289" s="7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7"/>
      <c r="C290" s="7"/>
      <c r="D290" s="7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7"/>
      <c r="C291" s="7"/>
      <c r="D291" s="7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7"/>
      <c r="C292" s="7"/>
      <c r="D292" s="7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7"/>
      <c r="C293" s="7"/>
      <c r="D293" s="7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7"/>
      <c r="C294" s="7"/>
      <c r="D294" s="7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7"/>
      <c r="C295" s="7"/>
      <c r="D295" s="7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7"/>
      <c r="C296" s="7"/>
      <c r="D296" s="7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7"/>
      <c r="C297" s="7"/>
      <c r="D297" s="7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7"/>
      <c r="C298" s="7"/>
      <c r="D298" s="7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7"/>
      <c r="C299" s="7"/>
      <c r="D299" s="7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7"/>
      <c r="C300" s="7"/>
      <c r="D300" s="7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7"/>
      <c r="C301" s="7"/>
      <c r="D301" s="7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7"/>
      <c r="C302" s="7"/>
      <c r="D302" s="7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7"/>
      <c r="C303" s="7"/>
      <c r="D303" s="7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7"/>
      <c r="C304" s="7"/>
      <c r="D304" s="7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7"/>
      <c r="C305" s="7"/>
      <c r="D305" s="7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7"/>
      <c r="C306" s="7"/>
      <c r="D306" s="7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7"/>
      <c r="C307" s="7"/>
      <c r="D307" s="7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7"/>
      <c r="C308" s="7"/>
      <c r="D308" s="7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7"/>
      <c r="C309" s="7"/>
      <c r="D309" s="7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7"/>
      <c r="C310" s="7"/>
      <c r="D310" s="7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7"/>
      <c r="C311" s="7"/>
      <c r="D311" s="7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7"/>
      <c r="C312" s="7"/>
      <c r="D312" s="7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7"/>
      <c r="C313" s="7"/>
      <c r="D313" s="7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7"/>
      <c r="C314" s="7"/>
      <c r="D314" s="7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7"/>
      <c r="C315" s="7"/>
      <c r="D315" s="7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7"/>
      <c r="C316" s="7"/>
      <c r="D316" s="7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7"/>
      <c r="C317" s="7"/>
      <c r="D317" s="7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7"/>
      <c r="C318" s="7"/>
      <c r="D318" s="7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7"/>
      <c r="C319" s="7"/>
      <c r="D319" s="7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7"/>
      <c r="C320" s="7"/>
      <c r="D320" s="7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7"/>
      <c r="C321" s="7"/>
      <c r="D321" s="7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7"/>
      <c r="C322" s="7"/>
      <c r="D322" s="7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7"/>
      <c r="C323" s="7"/>
      <c r="D323" s="7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7"/>
      <c r="C324" s="7"/>
      <c r="D324" s="7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7"/>
      <c r="C325" s="7"/>
      <c r="D325" s="7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7"/>
      <c r="C326" s="7"/>
      <c r="D326" s="7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7"/>
      <c r="C327" s="7"/>
      <c r="D327" s="7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7"/>
      <c r="C328" s="7"/>
      <c r="D328" s="7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7"/>
      <c r="C329" s="7"/>
      <c r="D329" s="7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7"/>
      <c r="C330" s="7"/>
      <c r="D330" s="7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7"/>
      <c r="C331" s="7"/>
      <c r="D331" s="7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7"/>
      <c r="C332" s="7"/>
      <c r="D332" s="7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7"/>
      <c r="C333" s="7"/>
      <c r="D333" s="7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7"/>
      <c r="C334" s="7"/>
      <c r="D334" s="7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7"/>
      <c r="C335" s="7"/>
      <c r="D335" s="7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7"/>
      <c r="C336" s="7"/>
      <c r="D336" s="7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7"/>
      <c r="C337" s="7"/>
      <c r="D337" s="7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7"/>
      <c r="C338" s="7"/>
      <c r="D338" s="7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7"/>
      <c r="C339" s="7"/>
      <c r="D339" s="7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7"/>
      <c r="C340" s="7"/>
      <c r="D340" s="7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7"/>
      <c r="C341" s="7"/>
      <c r="D341" s="7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7"/>
      <c r="C342" s="7"/>
      <c r="D342" s="7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7"/>
      <c r="C343" s="7"/>
      <c r="D343" s="7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7"/>
      <c r="C344" s="7"/>
      <c r="D344" s="7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7"/>
      <c r="C345" s="7"/>
      <c r="D345" s="7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7"/>
      <c r="C346" s="7"/>
      <c r="D346" s="7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7"/>
      <c r="C347" s="7"/>
      <c r="D347" s="7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7"/>
      <c r="C348" s="7"/>
      <c r="D348" s="7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7"/>
      <c r="C349" s="7"/>
      <c r="D349" s="7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7"/>
      <c r="C350" s="7"/>
      <c r="D350" s="7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7"/>
      <c r="C351" s="7"/>
      <c r="D351" s="7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7"/>
      <c r="C352" s="7"/>
      <c r="D352" s="7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7"/>
      <c r="C353" s="7"/>
      <c r="D353" s="7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7"/>
      <c r="C354" s="7"/>
      <c r="D354" s="7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7"/>
      <c r="C355" s="7"/>
      <c r="D355" s="7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7"/>
      <c r="C356" s="7"/>
      <c r="D356" s="7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7"/>
      <c r="C357" s="7"/>
      <c r="D357" s="7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7"/>
      <c r="C358" s="7"/>
      <c r="D358" s="7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7"/>
      <c r="C359" s="7"/>
      <c r="D359" s="7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7"/>
      <c r="C360" s="7"/>
      <c r="D360" s="7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7"/>
      <c r="C361" s="7"/>
      <c r="D361" s="7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7"/>
      <c r="C362" s="7"/>
      <c r="D362" s="7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7"/>
      <c r="C363" s="7"/>
      <c r="D363" s="7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7"/>
      <c r="C364" s="7"/>
      <c r="D364" s="7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7"/>
      <c r="C365" s="7"/>
      <c r="D365" s="7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7"/>
      <c r="C366" s="7"/>
      <c r="D366" s="7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7"/>
      <c r="C367" s="7"/>
      <c r="D367" s="7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7"/>
      <c r="C368" s="7"/>
      <c r="D368" s="7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7"/>
      <c r="C369" s="7"/>
      <c r="D369" s="7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7"/>
      <c r="C370" s="7"/>
      <c r="D370" s="7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7"/>
      <c r="C371" s="7"/>
      <c r="D371" s="7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7"/>
      <c r="C372" s="7"/>
      <c r="D372" s="7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7"/>
      <c r="C373" s="7"/>
      <c r="D373" s="7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7"/>
      <c r="C374" s="7"/>
      <c r="D374" s="7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7"/>
      <c r="C375" s="7"/>
      <c r="D375" s="7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7"/>
      <c r="C376" s="7"/>
      <c r="D376" s="7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7"/>
      <c r="C377" s="7"/>
      <c r="D377" s="7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7"/>
      <c r="C378" s="7"/>
      <c r="D378" s="7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7"/>
      <c r="C379" s="7"/>
      <c r="D379" s="7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7"/>
      <c r="C380" s="7"/>
      <c r="D380" s="7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7"/>
      <c r="C381" s="7"/>
      <c r="D381" s="7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7"/>
      <c r="C382" s="7"/>
      <c r="D382" s="7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7"/>
      <c r="C383" s="7"/>
      <c r="D383" s="7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7"/>
      <c r="C384" s="7"/>
      <c r="D384" s="7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7"/>
      <c r="C385" s="7"/>
      <c r="D385" s="7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7"/>
      <c r="C386" s="7"/>
      <c r="D386" s="7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7"/>
      <c r="C387" s="7"/>
      <c r="D387" s="7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7"/>
      <c r="C388" s="7"/>
      <c r="D388" s="7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7"/>
      <c r="C389" s="7"/>
      <c r="D389" s="7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7"/>
      <c r="C390" s="7"/>
      <c r="D390" s="7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7"/>
      <c r="C391" s="7"/>
      <c r="D391" s="7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7"/>
      <c r="C392" s="7"/>
      <c r="D392" s="7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7"/>
      <c r="C393" s="7"/>
      <c r="D393" s="7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7"/>
      <c r="C394" s="7"/>
      <c r="D394" s="7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7"/>
      <c r="C395" s="7"/>
      <c r="D395" s="7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7"/>
      <c r="C396" s="7"/>
      <c r="D396" s="7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7"/>
      <c r="C397" s="7"/>
      <c r="D397" s="7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7"/>
      <c r="C398" s="7"/>
      <c r="D398" s="7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7"/>
      <c r="C399" s="7"/>
      <c r="D399" s="7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7"/>
      <c r="C400" s="7"/>
      <c r="D400" s="7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7"/>
      <c r="C401" s="7"/>
      <c r="D401" s="7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7"/>
      <c r="C402" s="7"/>
      <c r="D402" s="7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7"/>
      <c r="C403" s="7"/>
      <c r="D403" s="7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7"/>
      <c r="C404" s="7"/>
      <c r="D404" s="7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7"/>
      <c r="C405" s="7"/>
      <c r="D405" s="7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7"/>
      <c r="C406" s="7"/>
      <c r="D406" s="7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7"/>
      <c r="C407" s="7"/>
      <c r="D407" s="7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7"/>
      <c r="C408" s="7"/>
      <c r="D408" s="7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7"/>
      <c r="C409" s="7"/>
      <c r="D409" s="7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7"/>
      <c r="C410" s="7"/>
      <c r="D410" s="7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7"/>
      <c r="C411" s="7"/>
      <c r="D411" s="7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7"/>
      <c r="C412" s="7"/>
      <c r="D412" s="7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7"/>
      <c r="C413" s="7"/>
      <c r="D413" s="7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7"/>
      <c r="C414" s="7"/>
      <c r="D414" s="7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7"/>
      <c r="C415" s="7"/>
      <c r="D415" s="7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7"/>
      <c r="C416" s="7"/>
      <c r="D416" s="7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7"/>
      <c r="C417" s="7"/>
      <c r="D417" s="7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7"/>
      <c r="C418" s="7"/>
      <c r="D418" s="7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7"/>
      <c r="C419" s="7"/>
      <c r="D419" s="7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7"/>
      <c r="C420" s="7"/>
      <c r="D420" s="7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7"/>
      <c r="C421" s="7"/>
      <c r="D421" s="7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7"/>
      <c r="C422" s="7"/>
      <c r="D422" s="7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7"/>
      <c r="C423" s="7"/>
      <c r="D423" s="7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7"/>
      <c r="C424" s="7"/>
      <c r="D424" s="7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7"/>
      <c r="C425" s="7"/>
      <c r="D425" s="7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7"/>
      <c r="C426" s="7"/>
      <c r="D426" s="7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7"/>
      <c r="C427" s="7"/>
      <c r="D427" s="7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7"/>
      <c r="C428" s="7"/>
      <c r="D428" s="7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7"/>
      <c r="C429" s="7"/>
      <c r="D429" s="7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7"/>
      <c r="C430" s="7"/>
      <c r="D430" s="7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7"/>
      <c r="C431" s="7"/>
      <c r="D431" s="7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7"/>
      <c r="C432" s="7"/>
      <c r="D432" s="7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7"/>
      <c r="C433" s="7"/>
      <c r="D433" s="7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7"/>
      <c r="C434" s="7"/>
      <c r="D434" s="7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7"/>
      <c r="C435" s="7"/>
      <c r="D435" s="7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7"/>
      <c r="C436" s="7"/>
      <c r="D436" s="7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7"/>
      <c r="C437" s="7"/>
      <c r="D437" s="7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7"/>
      <c r="C438" s="7"/>
      <c r="D438" s="7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7"/>
      <c r="C439" s="7"/>
      <c r="D439" s="7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7"/>
      <c r="C440" s="7"/>
      <c r="D440" s="7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7"/>
      <c r="C441" s="7"/>
      <c r="D441" s="7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7"/>
      <c r="C442" s="7"/>
      <c r="D442" s="7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7"/>
      <c r="C443" s="7"/>
      <c r="D443" s="7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7"/>
      <c r="C444" s="7"/>
      <c r="D444" s="7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7"/>
      <c r="C445" s="7"/>
      <c r="D445" s="7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7"/>
      <c r="C446" s="7"/>
      <c r="D446" s="7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7"/>
      <c r="C447" s="7"/>
      <c r="D447" s="7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7"/>
      <c r="C448" s="7"/>
      <c r="D448" s="7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7"/>
      <c r="C449" s="7"/>
      <c r="D449" s="7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7"/>
      <c r="C450" s="7"/>
      <c r="D450" s="7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7"/>
      <c r="C451" s="7"/>
      <c r="D451" s="7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7"/>
      <c r="C452" s="7"/>
      <c r="D452" s="7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7"/>
      <c r="C453" s="7"/>
      <c r="D453" s="7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7"/>
      <c r="C454" s="7"/>
      <c r="D454" s="7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7"/>
      <c r="C455" s="7"/>
      <c r="D455" s="7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7"/>
      <c r="C456" s="7"/>
      <c r="D456" s="7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7"/>
      <c r="C457" s="7"/>
      <c r="D457" s="7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7"/>
      <c r="C458" s="7"/>
      <c r="D458" s="7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7"/>
      <c r="C459" s="7"/>
      <c r="D459" s="7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7"/>
      <c r="C460" s="7"/>
      <c r="D460" s="7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7"/>
      <c r="C461" s="7"/>
      <c r="D461" s="7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7"/>
      <c r="C462" s="7"/>
      <c r="D462" s="7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7"/>
      <c r="C463" s="7"/>
      <c r="D463" s="7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7"/>
      <c r="C464" s="7"/>
      <c r="D464" s="7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7"/>
      <c r="C465" s="7"/>
      <c r="D465" s="7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7"/>
      <c r="C466" s="7"/>
      <c r="D466" s="7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7"/>
      <c r="C467" s="7"/>
      <c r="D467" s="7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7"/>
      <c r="C468" s="7"/>
      <c r="D468" s="7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7"/>
      <c r="C469" s="7"/>
      <c r="D469" s="7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7"/>
      <c r="C470" s="7"/>
      <c r="D470" s="7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7"/>
      <c r="C471" s="7"/>
      <c r="D471" s="7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7"/>
      <c r="C472" s="7"/>
      <c r="D472" s="7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7"/>
      <c r="C473" s="7"/>
      <c r="D473" s="7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7"/>
      <c r="C474" s="7"/>
      <c r="D474" s="7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7"/>
      <c r="C475" s="7"/>
      <c r="D475" s="7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7"/>
      <c r="C476" s="7"/>
      <c r="D476" s="7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7"/>
      <c r="C477" s="7"/>
      <c r="D477" s="7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7"/>
      <c r="C478" s="7"/>
      <c r="D478" s="7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7"/>
      <c r="C479" s="7"/>
      <c r="D479" s="7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7"/>
      <c r="C480" s="7"/>
      <c r="D480" s="7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7"/>
      <c r="C481" s="7"/>
      <c r="D481" s="7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7"/>
      <c r="C482" s="7"/>
      <c r="D482" s="7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7"/>
      <c r="C483" s="7"/>
      <c r="D483" s="7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7"/>
      <c r="C484" s="7"/>
      <c r="D484" s="7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7"/>
      <c r="C485" s="7"/>
      <c r="D485" s="7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7"/>
      <c r="C486" s="7"/>
      <c r="D486" s="7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7"/>
      <c r="C487" s="7"/>
      <c r="D487" s="7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7"/>
      <c r="C488" s="7"/>
      <c r="D488" s="7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7"/>
      <c r="C489" s="7"/>
      <c r="D489" s="7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7"/>
      <c r="C490" s="7"/>
      <c r="D490" s="7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7"/>
      <c r="C491" s="7"/>
      <c r="D491" s="7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7"/>
      <c r="C492" s="7"/>
      <c r="D492" s="7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7"/>
      <c r="C493" s="7"/>
      <c r="D493" s="7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7"/>
      <c r="C494" s="7"/>
      <c r="D494" s="7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7"/>
      <c r="C495" s="7"/>
      <c r="D495" s="7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7"/>
      <c r="C496" s="7"/>
      <c r="D496" s="7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7"/>
      <c r="C497" s="7"/>
      <c r="D497" s="7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7"/>
      <c r="C498" s="7"/>
      <c r="D498" s="7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7"/>
      <c r="C499" s="7"/>
      <c r="D499" s="7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7"/>
      <c r="C500" s="7"/>
      <c r="D500" s="7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7"/>
      <c r="C501" s="7"/>
      <c r="D501" s="7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7"/>
      <c r="C502" s="7"/>
      <c r="D502" s="7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7"/>
      <c r="C503" s="7"/>
      <c r="D503" s="7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7"/>
      <c r="C504" s="7"/>
      <c r="D504" s="7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7"/>
      <c r="C505" s="7"/>
      <c r="D505" s="7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7"/>
      <c r="C506" s="7"/>
      <c r="D506" s="7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7"/>
      <c r="C507" s="7"/>
      <c r="D507" s="7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7"/>
      <c r="C508" s="7"/>
      <c r="D508" s="7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7"/>
      <c r="C509" s="7"/>
      <c r="D509" s="7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7"/>
      <c r="C510" s="7"/>
      <c r="D510" s="7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7"/>
      <c r="C511" s="7"/>
      <c r="D511" s="7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7"/>
      <c r="C512" s="7"/>
      <c r="D512" s="7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7"/>
      <c r="C513" s="7"/>
      <c r="D513" s="7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7"/>
      <c r="C514" s="7"/>
      <c r="D514" s="7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7"/>
      <c r="C515" s="7"/>
      <c r="D515" s="7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7"/>
      <c r="C516" s="7"/>
      <c r="D516" s="7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7"/>
      <c r="C517" s="7"/>
      <c r="D517" s="7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7"/>
      <c r="C518" s="7"/>
      <c r="D518" s="7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7"/>
      <c r="C519" s="7"/>
      <c r="D519" s="7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7"/>
      <c r="C520" s="7"/>
      <c r="D520" s="7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7"/>
      <c r="C521" s="7"/>
      <c r="D521" s="7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7"/>
      <c r="C522" s="7"/>
      <c r="D522" s="7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7"/>
      <c r="C523" s="7"/>
      <c r="D523" s="7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7"/>
      <c r="C524" s="7"/>
      <c r="D524" s="7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7"/>
      <c r="C525" s="7"/>
      <c r="D525" s="7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7"/>
      <c r="C526" s="7"/>
      <c r="D526" s="7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7"/>
      <c r="C527" s="7"/>
      <c r="D527" s="7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7"/>
      <c r="C528" s="7"/>
      <c r="D528" s="7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7"/>
      <c r="C529" s="7"/>
      <c r="D529" s="7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7"/>
      <c r="C530" s="7"/>
      <c r="D530" s="7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7"/>
      <c r="C531" s="7"/>
      <c r="D531" s="7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7"/>
      <c r="C532" s="7"/>
      <c r="D532" s="7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7"/>
      <c r="C533" s="7"/>
      <c r="D533" s="7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7"/>
      <c r="C534" s="7"/>
      <c r="D534" s="7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7"/>
      <c r="C535" s="7"/>
      <c r="D535" s="7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7"/>
      <c r="C536" s="7"/>
      <c r="D536" s="7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7"/>
      <c r="C537" s="7"/>
      <c r="D537" s="7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7"/>
      <c r="C538" s="7"/>
      <c r="D538" s="7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7"/>
      <c r="C539" s="7"/>
      <c r="D539" s="7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7"/>
      <c r="C540" s="7"/>
      <c r="D540" s="7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7"/>
      <c r="C541" s="7"/>
      <c r="D541" s="7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7"/>
      <c r="C542" s="7"/>
      <c r="D542" s="7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7"/>
      <c r="C543" s="7"/>
      <c r="D543" s="7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7"/>
      <c r="C544" s="7"/>
      <c r="D544" s="7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7"/>
      <c r="C545" s="7"/>
      <c r="D545" s="7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7"/>
      <c r="C546" s="7"/>
      <c r="D546" s="7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7"/>
      <c r="C547" s="7"/>
      <c r="D547" s="7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7"/>
      <c r="C548" s="7"/>
      <c r="D548" s="7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7"/>
      <c r="C549" s="7"/>
      <c r="D549" s="7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7"/>
      <c r="C550" s="7"/>
      <c r="D550" s="7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7"/>
      <c r="C551" s="7"/>
      <c r="D551" s="7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7"/>
      <c r="C552" s="7"/>
      <c r="D552" s="7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7"/>
      <c r="C553" s="7"/>
      <c r="D553" s="7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7"/>
      <c r="C554" s="7"/>
      <c r="D554" s="7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7"/>
      <c r="C555" s="7"/>
      <c r="D555" s="7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7"/>
      <c r="C556" s="7"/>
      <c r="D556" s="7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7"/>
      <c r="C557" s="7"/>
      <c r="D557" s="7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7"/>
      <c r="C558" s="7"/>
      <c r="D558" s="7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7"/>
      <c r="C559" s="7"/>
      <c r="D559" s="7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7"/>
      <c r="C560" s="7"/>
      <c r="D560" s="7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7"/>
      <c r="C561" s="7"/>
      <c r="D561" s="7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7"/>
      <c r="C562" s="7"/>
      <c r="D562" s="7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7"/>
      <c r="C563" s="7"/>
      <c r="D563" s="7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7"/>
      <c r="C564" s="7"/>
      <c r="D564" s="7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7"/>
      <c r="C565" s="7"/>
      <c r="D565" s="7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7"/>
      <c r="C566" s="7"/>
      <c r="D566" s="7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7"/>
      <c r="C567" s="7"/>
      <c r="D567" s="7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7"/>
      <c r="C568" s="7"/>
      <c r="D568" s="7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7"/>
      <c r="C569" s="7"/>
      <c r="D569" s="7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7"/>
      <c r="C570" s="7"/>
      <c r="D570" s="7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7"/>
      <c r="C571" s="7"/>
      <c r="D571" s="7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7"/>
      <c r="C572" s="7"/>
      <c r="D572" s="7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7"/>
      <c r="C573" s="7"/>
      <c r="D573" s="7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7"/>
      <c r="C574" s="7"/>
      <c r="D574" s="7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7"/>
      <c r="C575" s="7"/>
      <c r="D575" s="7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7"/>
      <c r="C576" s="7"/>
      <c r="D576" s="7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7"/>
      <c r="C577" s="7"/>
      <c r="D577" s="7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7"/>
      <c r="C578" s="7"/>
      <c r="D578" s="7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7"/>
      <c r="C579" s="7"/>
      <c r="D579" s="7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7"/>
      <c r="C580" s="7"/>
      <c r="D580" s="7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7"/>
      <c r="C581" s="7"/>
      <c r="D581" s="7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7"/>
      <c r="C582" s="7"/>
      <c r="D582" s="7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7"/>
      <c r="C583" s="7"/>
      <c r="D583" s="7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7"/>
      <c r="C584" s="7"/>
      <c r="D584" s="7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7"/>
      <c r="C585" s="7"/>
      <c r="D585" s="7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7"/>
      <c r="C586" s="7"/>
      <c r="D586" s="7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7"/>
      <c r="C587" s="7"/>
      <c r="D587" s="7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7"/>
      <c r="C588" s="7"/>
      <c r="D588" s="7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7"/>
      <c r="C589" s="7"/>
      <c r="D589" s="7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7"/>
      <c r="C590" s="7"/>
      <c r="D590" s="7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7"/>
      <c r="C591" s="7"/>
      <c r="D591" s="7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7"/>
      <c r="C592" s="7"/>
      <c r="D592" s="7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7"/>
      <c r="C593" s="7"/>
      <c r="D593" s="7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7"/>
      <c r="C594" s="7"/>
      <c r="D594" s="7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7"/>
      <c r="C595" s="7"/>
      <c r="D595" s="7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7"/>
      <c r="C596" s="7"/>
      <c r="D596" s="7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7"/>
      <c r="C597" s="7"/>
      <c r="D597" s="7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7"/>
      <c r="C598" s="7"/>
      <c r="D598" s="7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7"/>
      <c r="C599" s="7"/>
      <c r="D599" s="7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7"/>
      <c r="C600" s="7"/>
      <c r="D600" s="7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7"/>
      <c r="C601" s="7"/>
      <c r="D601" s="7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7"/>
      <c r="C602" s="7"/>
      <c r="D602" s="7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7"/>
      <c r="C603" s="7"/>
      <c r="D603" s="7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7"/>
      <c r="C604" s="7"/>
      <c r="D604" s="7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7"/>
      <c r="C605" s="7"/>
      <c r="D605" s="7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7"/>
      <c r="C606" s="7"/>
      <c r="D606" s="7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7"/>
      <c r="C607" s="7"/>
      <c r="D607" s="7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7"/>
      <c r="C608" s="7"/>
      <c r="D608" s="7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7"/>
      <c r="C609" s="7"/>
      <c r="D609" s="7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7"/>
      <c r="C610" s="7"/>
      <c r="D610" s="7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7"/>
      <c r="C611" s="7"/>
      <c r="D611" s="7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7"/>
      <c r="C612" s="7"/>
      <c r="D612" s="7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7"/>
      <c r="C613" s="7"/>
      <c r="D613" s="7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7"/>
      <c r="C614" s="7"/>
      <c r="D614" s="7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7"/>
      <c r="C615" s="7"/>
      <c r="D615" s="7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7"/>
      <c r="C616" s="7"/>
      <c r="D616" s="7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7"/>
      <c r="C617" s="7"/>
      <c r="D617" s="7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7"/>
      <c r="C618" s="7"/>
      <c r="D618" s="7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7"/>
      <c r="C619" s="7"/>
      <c r="D619" s="7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7"/>
      <c r="C620" s="7"/>
      <c r="D620" s="7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7"/>
      <c r="C621" s="7"/>
      <c r="D621" s="7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7"/>
      <c r="C622" s="7"/>
      <c r="D622" s="7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7"/>
      <c r="C623" s="7"/>
      <c r="D623" s="7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7"/>
      <c r="C624" s="7"/>
      <c r="D624" s="7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7"/>
      <c r="C625" s="7"/>
      <c r="D625" s="7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7"/>
      <c r="C626" s="7"/>
      <c r="D626" s="7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7"/>
      <c r="C627" s="7"/>
      <c r="D627" s="7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7"/>
      <c r="C628" s="7"/>
      <c r="D628" s="7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7"/>
      <c r="C629" s="7"/>
      <c r="D629" s="7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7"/>
      <c r="C630" s="7"/>
      <c r="D630" s="7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7"/>
      <c r="C631" s="7"/>
      <c r="D631" s="7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7"/>
      <c r="C632" s="7"/>
      <c r="D632" s="7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7"/>
      <c r="C633" s="7"/>
      <c r="D633" s="7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7"/>
      <c r="C634" s="7"/>
      <c r="D634" s="7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7"/>
      <c r="C635" s="7"/>
      <c r="D635" s="7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7"/>
      <c r="C636" s="7"/>
      <c r="D636" s="7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7"/>
      <c r="C637" s="7"/>
      <c r="D637" s="7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7"/>
      <c r="C638" s="7"/>
      <c r="D638" s="7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7"/>
      <c r="C639" s="7"/>
      <c r="D639" s="7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7"/>
      <c r="C640" s="7"/>
      <c r="D640" s="7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7"/>
      <c r="C641" s="7"/>
      <c r="D641" s="7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7"/>
      <c r="C642" s="7"/>
      <c r="D642" s="7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7"/>
      <c r="C643" s="7"/>
      <c r="D643" s="7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7"/>
      <c r="C644" s="7"/>
      <c r="D644" s="7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7"/>
      <c r="C645" s="7"/>
      <c r="D645" s="7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7"/>
      <c r="C646" s="7"/>
      <c r="D646" s="7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7"/>
      <c r="C647" s="7"/>
      <c r="D647" s="7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7"/>
      <c r="C648" s="7"/>
      <c r="D648" s="7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7"/>
      <c r="C649" s="7"/>
      <c r="D649" s="7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7"/>
      <c r="C650" s="7"/>
      <c r="D650" s="7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7"/>
      <c r="C651" s="7"/>
      <c r="D651" s="7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7"/>
      <c r="C652" s="7"/>
      <c r="D652" s="7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7"/>
      <c r="C653" s="7"/>
      <c r="D653" s="7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7"/>
      <c r="C654" s="7"/>
      <c r="D654" s="7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7"/>
      <c r="C655" s="7"/>
      <c r="D655" s="7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7"/>
      <c r="C656" s="7"/>
      <c r="D656" s="7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7"/>
      <c r="C657" s="7"/>
      <c r="D657" s="7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7"/>
      <c r="C658" s="7"/>
      <c r="D658" s="7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7"/>
      <c r="C659" s="7"/>
      <c r="D659" s="7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7"/>
      <c r="C660" s="7"/>
      <c r="D660" s="7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7"/>
      <c r="C661" s="7"/>
      <c r="D661" s="7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7"/>
      <c r="C662" s="7"/>
      <c r="D662" s="7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7"/>
      <c r="C663" s="7"/>
      <c r="D663" s="7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7"/>
      <c r="C664" s="7"/>
      <c r="D664" s="7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7"/>
      <c r="C665" s="7"/>
      <c r="D665" s="7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7"/>
      <c r="C666" s="7"/>
      <c r="D666" s="7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7"/>
      <c r="C667" s="7"/>
      <c r="D667" s="7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7"/>
      <c r="C668" s="7"/>
      <c r="D668" s="7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7"/>
      <c r="C669" s="7"/>
      <c r="D669" s="7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7"/>
      <c r="C670" s="7"/>
      <c r="D670" s="7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7"/>
      <c r="C671" s="7"/>
      <c r="D671" s="7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7"/>
      <c r="C672" s="7"/>
      <c r="D672" s="7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7"/>
      <c r="C673" s="7"/>
      <c r="D673" s="7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7"/>
      <c r="C674" s="7"/>
      <c r="D674" s="7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7"/>
      <c r="C675" s="7"/>
      <c r="D675" s="7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7"/>
      <c r="C676" s="7"/>
      <c r="D676" s="7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7"/>
      <c r="C677" s="7"/>
      <c r="D677" s="7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7"/>
      <c r="C678" s="7"/>
      <c r="D678" s="7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7"/>
      <c r="C679" s="7"/>
      <c r="D679" s="7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7"/>
      <c r="C680" s="7"/>
      <c r="D680" s="7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7"/>
      <c r="C681" s="7"/>
      <c r="D681" s="7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7"/>
      <c r="C682" s="7"/>
      <c r="D682" s="7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7"/>
      <c r="C683" s="7"/>
      <c r="D683" s="7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7"/>
      <c r="C684" s="7"/>
      <c r="D684" s="7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7"/>
      <c r="C685" s="7"/>
      <c r="D685" s="7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7"/>
      <c r="C686" s="7"/>
      <c r="D686" s="7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7"/>
      <c r="C687" s="7"/>
      <c r="D687" s="7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7"/>
      <c r="C688" s="7"/>
      <c r="D688" s="7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7"/>
      <c r="C689" s="7"/>
      <c r="D689" s="7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7"/>
      <c r="C690" s="7"/>
      <c r="D690" s="7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7"/>
      <c r="C691" s="7"/>
      <c r="D691" s="7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7"/>
      <c r="C692" s="7"/>
      <c r="D692" s="7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7"/>
      <c r="C693" s="7"/>
      <c r="D693" s="7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7"/>
      <c r="C694" s="7"/>
      <c r="D694" s="7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7"/>
      <c r="C695" s="7"/>
      <c r="D695" s="7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7"/>
      <c r="C696" s="7"/>
      <c r="D696" s="7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7"/>
      <c r="C697" s="7"/>
      <c r="D697" s="7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7"/>
      <c r="C698" s="7"/>
      <c r="D698" s="7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7"/>
      <c r="C699" s="7"/>
      <c r="D699" s="7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7"/>
      <c r="C700" s="7"/>
      <c r="D700" s="7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7"/>
      <c r="C701" s="7"/>
      <c r="D701" s="7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7"/>
      <c r="C702" s="7"/>
      <c r="D702" s="7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7"/>
      <c r="C703" s="7"/>
      <c r="D703" s="7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7"/>
      <c r="C704" s="7"/>
      <c r="D704" s="7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7"/>
      <c r="C705" s="7"/>
      <c r="D705" s="7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7"/>
      <c r="C706" s="7"/>
      <c r="D706" s="7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7"/>
      <c r="C707" s="7"/>
      <c r="D707" s="7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7"/>
      <c r="C708" s="7"/>
      <c r="D708" s="7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7"/>
      <c r="C709" s="7"/>
      <c r="D709" s="7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7"/>
      <c r="C710" s="7"/>
      <c r="D710" s="7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7"/>
      <c r="C711" s="7"/>
      <c r="D711" s="7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7"/>
      <c r="C712" s="7"/>
      <c r="D712" s="7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7"/>
      <c r="C713" s="7"/>
      <c r="D713" s="7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7"/>
      <c r="C714" s="7"/>
      <c r="D714" s="7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7"/>
      <c r="C715" s="7"/>
      <c r="D715" s="7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7"/>
      <c r="C716" s="7"/>
      <c r="D716" s="7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7"/>
      <c r="C717" s="7"/>
      <c r="D717" s="7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7"/>
      <c r="C718" s="7"/>
      <c r="D718" s="7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7"/>
      <c r="C719" s="7"/>
      <c r="D719" s="7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7"/>
      <c r="C720" s="7"/>
      <c r="D720" s="7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7"/>
      <c r="C721" s="7"/>
      <c r="D721" s="7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7"/>
      <c r="C722" s="7"/>
      <c r="D722" s="7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7"/>
      <c r="C723" s="7"/>
      <c r="D723" s="7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7"/>
      <c r="C724" s="7"/>
      <c r="D724" s="7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7"/>
      <c r="C725" s="7"/>
      <c r="D725" s="7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7"/>
      <c r="C726" s="7"/>
      <c r="D726" s="7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7"/>
      <c r="C727" s="7"/>
      <c r="D727" s="7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7"/>
      <c r="C728" s="7"/>
      <c r="D728" s="7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7"/>
      <c r="C729" s="7"/>
      <c r="D729" s="7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7"/>
      <c r="C730" s="7"/>
      <c r="D730" s="7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7"/>
      <c r="C731" s="7"/>
      <c r="D731" s="7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7"/>
      <c r="C732" s="7"/>
      <c r="D732" s="7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7"/>
      <c r="C733" s="7"/>
      <c r="D733" s="7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7"/>
      <c r="C734" s="7"/>
      <c r="D734" s="7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7"/>
      <c r="C735" s="7"/>
      <c r="D735" s="7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7"/>
      <c r="C736" s="7"/>
      <c r="D736" s="7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7"/>
      <c r="C737" s="7"/>
      <c r="D737" s="7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7"/>
      <c r="C738" s="7"/>
      <c r="D738" s="7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7"/>
      <c r="C739" s="7"/>
      <c r="D739" s="7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7"/>
      <c r="C740" s="7"/>
      <c r="D740" s="7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7"/>
      <c r="C741" s="7"/>
      <c r="D741" s="7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7"/>
      <c r="C742" s="7"/>
      <c r="D742" s="7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7"/>
      <c r="C743" s="7"/>
      <c r="D743" s="7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7"/>
      <c r="C744" s="7"/>
      <c r="D744" s="7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7"/>
      <c r="C745" s="7"/>
      <c r="D745" s="7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7"/>
      <c r="C746" s="7"/>
      <c r="D746" s="7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7"/>
      <c r="C747" s="7"/>
      <c r="D747" s="7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7"/>
      <c r="C748" s="7"/>
      <c r="D748" s="7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7"/>
      <c r="C749" s="7"/>
      <c r="D749" s="7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7"/>
      <c r="C750" s="7"/>
      <c r="D750" s="7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7"/>
      <c r="C751" s="7"/>
      <c r="D751" s="7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7"/>
      <c r="C752" s="7"/>
      <c r="D752" s="7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7"/>
      <c r="C753" s="7"/>
      <c r="D753" s="7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7"/>
      <c r="C754" s="7"/>
      <c r="D754" s="7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7"/>
      <c r="C755" s="7"/>
      <c r="D755" s="7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7"/>
      <c r="C756" s="7"/>
      <c r="D756" s="7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7"/>
      <c r="C757" s="7"/>
      <c r="D757" s="7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7"/>
      <c r="C758" s="7"/>
      <c r="D758" s="7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7"/>
      <c r="C759" s="7"/>
      <c r="D759" s="7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7"/>
      <c r="C760" s="7"/>
      <c r="D760" s="7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7"/>
      <c r="C761" s="7"/>
      <c r="D761" s="7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7"/>
      <c r="C762" s="7"/>
      <c r="D762" s="7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7"/>
      <c r="C763" s="7"/>
      <c r="D763" s="7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7"/>
      <c r="C764" s="7"/>
      <c r="D764" s="7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7"/>
      <c r="C765" s="7"/>
      <c r="D765" s="7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7"/>
      <c r="C766" s="7"/>
      <c r="D766" s="7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7"/>
      <c r="C767" s="7"/>
      <c r="D767" s="7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7"/>
      <c r="C768" s="7"/>
      <c r="D768" s="7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7"/>
      <c r="C769" s="7"/>
      <c r="D769" s="7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7"/>
      <c r="C770" s="7"/>
      <c r="D770" s="7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7"/>
      <c r="C771" s="7"/>
      <c r="D771" s="7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7"/>
      <c r="C772" s="7"/>
      <c r="D772" s="7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7"/>
      <c r="C773" s="7"/>
      <c r="D773" s="7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7"/>
      <c r="C774" s="7"/>
      <c r="D774" s="7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7"/>
      <c r="C775" s="7"/>
      <c r="D775" s="7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7"/>
      <c r="C776" s="7"/>
      <c r="D776" s="7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7"/>
      <c r="C777" s="7"/>
      <c r="D777" s="7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7"/>
      <c r="C778" s="7"/>
      <c r="D778" s="7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7"/>
      <c r="C779" s="7"/>
      <c r="D779" s="7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7"/>
      <c r="C780" s="7"/>
      <c r="D780" s="7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7"/>
      <c r="C781" s="7"/>
      <c r="D781" s="7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7"/>
      <c r="C782" s="7"/>
      <c r="D782" s="7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7"/>
      <c r="C783" s="7"/>
      <c r="D783" s="7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7"/>
      <c r="C784" s="7"/>
      <c r="D784" s="7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7"/>
      <c r="C785" s="7"/>
      <c r="D785" s="7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7"/>
      <c r="C786" s="7"/>
      <c r="D786" s="7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7"/>
      <c r="C787" s="7"/>
      <c r="D787" s="7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7"/>
      <c r="C788" s="7"/>
      <c r="D788" s="7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7"/>
      <c r="C789" s="7"/>
      <c r="D789" s="7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7"/>
      <c r="C790" s="7"/>
      <c r="D790" s="7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7"/>
      <c r="C791" s="7"/>
      <c r="D791" s="7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7"/>
      <c r="C792" s="7"/>
      <c r="D792" s="7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7"/>
      <c r="C793" s="7"/>
      <c r="D793" s="7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7"/>
      <c r="C794" s="7"/>
      <c r="D794" s="7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7"/>
      <c r="C795" s="7"/>
      <c r="D795" s="7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7"/>
      <c r="C796" s="7"/>
      <c r="D796" s="7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7"/>
      <c r="C797" s="7"/>
      <c r="D797" s="7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7"/>
      <c r="C798" s="7"/>
      <c r="D798" s="7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7"/>
      <c r="C799" s="7"/>
      <c r="D799" s="7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7"/>
      <c r="C800" s="7"/>
      <c r="D800" s="7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7"/>
      <c r="C801" s="7"/>
      <c r="D801" s="7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7"/>
      <c r="C802" s="7"/>
      <c r="D802" s="7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7"/>
      <c r="C803" s="7"/>
      <c r="D803" s="7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7"/>
      <c r="C804" s="7"/>
      <c r="D804" s="7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7"/>
      <c r="C805" s="7"/>
      <c r="D805" s="7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7"/>
      <c r="C806" s="7"/>
      <c r="D806" s="7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7"/>
      <c r="C807" s="7"/>
      <c r="D807" s="7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7"/>
      <c r="C808" s="7"/>
      <c r="D808" s="7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7"/>
      <c r="C809" s="7"/>
      <c r="D809" s="7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7"/>
      <c r="C810" s="7"/>
      <c r="D810" s="7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7"/>
      <c r="C811" s="7"/>
      <c r="D811" s="7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7"/>
      <c r="C812" s="7"/>
      <c r="D812" s="7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7"/>
      <c r="C813" s="7"/>
      <c r="D813" s="7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7"/>
      <c r="C814" s="7"/>
      <c r="D814" s="7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7"/>
      <c r="C815" s="7"/>
      <c r="D815" s="7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7"/>
      <c r="C816" s="7"/>
      <c r="D816" s="7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7"/>
      <c r="C817" s="7"/>
      <c r="D817" s="7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7"/>
      <c r="C818" s="7"/>
      <c r="D818" s="7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7"/>
      <c r="C819" s="7"/>
      <c r="D819" s="7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7"/>
      <c r="C820" s="7"/>
      <c r="D820" s="7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7"/>
      <c r="C821" s="7"/>
      <c r="D821" s="7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7"/>
      <c r="C822" s="7"/>
      <c r="D822" s="7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7"/>
      <c r="C823" s="7"/>
      <c r="D823" s="7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7"/>
      <c r="C824" s="7"/>
      <c r="D824" s="7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7"/>
      <c r="C825" s="7"/>
      <c r="D825" s="7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7"/>
      <c r="C826" s="7"/>
      <c r="D826" s="7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7"/>
      <c r="C827" s="7"/>
      <c r="D827" s="7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7"/>
      <c r="C828" s="7"/>
      <c r="D828" s="7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7"/>
      <c r="C829" s="7"/>
      <c r="D829" s="7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7"/>
      <c r="C830" s="7"/>
      <c r="D830" s="7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7"/>
      <c r="C831" s="7"/>
      <c r="D831" s="7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7"/>
      <c r="C832" s="7"/>
      <c r="D832" s="7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7"/>
      <c r="C833" s="7"/>
      <c r="D833" s="7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7"/>
      <c r="C834" s="7"/>
      <c r="D834" s="7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7"/>
      <c r="C835" s="7"/>
      <c r="D835" s="7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7"/>
      <c r="C836" s="7"/>
      <c r="D836" s="7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7"/>
      <c r="C837" s="7"/>
      <c r="D837" s="7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7"/>
      <c r="C838" s="7"/>
      <c r="D838" s="7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7"/>
      <c r="C839" s="7"/>
      <c r="D839" s="7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7"/>
      <c r="C840" s="7"/>
      <c r="D840" s="7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7"/>
      <c r="C841" s="7"/>
      <c r="D841" s="7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7"/>
      <c r="C842" s="7"/>
      <c r="D842" s="7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7"/>
      <c r="C843" s="7"/>
      <c r="D843" s="7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7"/>
      <c r="C844" s="7"/>
      <c r="D844" s="7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7"/>
      <c r="C845" s="7"/>
      <c r="D845" s="7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7"/>
      <c r="C846" s="7"/>
      <c r="D846" s="7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7"/>
      <c r="C847" s="7"/>
      <c r="D847" s="7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7"/>
      <c r="C848" s="7"/>
      <c r="D848" s="7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7"/>
      <c r="C849" s="7"/>
      <c r="D849" s="7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7"/>
      <c r="C850" s="7"/>
      <c r="D850" s="7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7"/>
      <c r="C851" s="7"/>
      <c r="D851" s="7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7"/>
      <c r="C852" s="7"/>
      <c r="D852" s="7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7"/>
      <c r="C853" s="7"/>
      <c r="D853" s="7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7"/>
      <c r="C854" s="7"/>
      <c r="D854" s="7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7"/>
      <c r="C855" s="7"/>
      <c r="D855" s="7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7"/>
      <c r="C856" s="7"/>
      <c r="D856" s="7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7"/>
      <c r="C857" s="7"/>
      <c r="D857" s="7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7"/>
      <c r="C858" s="7"/>
      <c r="D858" s="7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7"/>
      <c r="C859" s="7"/>
      <c r="D859" s="7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7"/>
      <c r="C860" s="7"/>
      <c r="D860" s="7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7"/>
      <c r="C861" s="7"/>
      <c r="D861" s="7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7"/>
      <c r="C862" s="7"/>
      <c r="D862" s="7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7"/>
      <c r="C863" s="7"/>
      <c r="D863" s="7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7"/>
      <c r="C864" s="7"/>
      <c r="D864" s="7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7"/>
      <c r="C865" s="7"/>
      <c r="D865" s="7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7"/>
      <c r="C866" s="7"/>
      <c r="D866" s="7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7"/>
      <c r="C867" s="7"/>
      <c r="D867" s="7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7"/>
      <c r="C868" s="7"/>
      <c r="D868" s="7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7"/>
      <c r="C869" s="7"/>
      <c r="D869" s="7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7"/>
      <c r="C870" s="7"/>
      <c r="D870" s="7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7"/>
      <c r="C871" s="7"/>
      <c r="D871" s="7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7"/>
      <c r="C872" s="7"/>
      <c r="D872" s="7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7"/>
      <c r="C873" s="7"/>
      <c r="D873" s="7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7"/>
      <c r="C874" s="7"/>
      <c r="D874" s="7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7"/>
      <c r="C875" s="7"/>
      <c r="D875" s="7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7"/>
      <c r="C876" s="7"/>
      <c r="D876" s="7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7"/>
      <c r="C877" s="7"/>
      <c r="D877" s="7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7"/>
      <c r="C878" s="7"/>
      <c r="D878" s="7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7"/>
      <c r="C879" s="7"/>
      <c r="D879" s="7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7"/>
      <c r="C880" s="7"/>
      <c r="D880" s="7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7"/>
      <c r="C881" s="7"/>
      <c r="D881" s="7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7"/>
      <c r="C882" s="7"/>
      <c r="D882" s="7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7"/>
      <c r="C883" s="7"/>
      <c r="D883" s="7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7"/>
      <c r="C884" s="7"/>
      <c r="D884" s="7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7"/>
      <c r="C885" s="7"/>
      <c r="D885" s="7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7"/>
      <c r="C886" s="7"/>
      <c r="D886" s="7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7"/>
      <c r="C887" s="7"/>
      <c r="D887" s="7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7"/>
      <c r="C888" s="7"/>
      <c r="D888" s="7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7"/>
      <c r="C889" s="7"/>
      <c r="D889" s="7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7"/>
      <c r="C890" s="7"/>
      <c r="D890" s="7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7"/>
      <c r="C891" s="7"/>
      <c r="D891" s="7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7"/>
      <c r="C892" s="7"/>
      <c r="D892" s="7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7"/>
      <c r="C893" s="7"/>
      <c r="D893" s="7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7"/>
      <c r="C894" s="7"/>
      <c r="D894" s="7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7"/>
      <c r="C895" s="7"/>
      <c r="D895" s="7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7"/>
      <c r="C896" s="7"/>
      <c r="D896" s="7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7"/>
      <c r="C897" s="7"/>
      <c r="D897" s="7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7"/>
      <c r="C898" s="7"/>
      <c r="D898" s="7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7"/>
      <c r="C899" s="7"/>
      <c r="D899" s="7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7"/>
      <c r="C900" s="7"/>
      <c r="D900" s="7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7"/>
      <c r="C901" s="7"/>
      <c r="D901" s="7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7"/>
      <c r="C902" s="7"/>
      <c r="D902" s="7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7"/>
      <c r="C903" s="7"/>
      <c r="D903" s="7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7"/>
      <c r="C904" s="7"/>
      <c r="D904" s="7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7"/>
      <c r="C905" s="7"/>
      <c r="D905" s="7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7"/>
      <c r="C906" s="7"/>
      <c r="D906" s="7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7"/>
      <c r="C907" s="7"/>
      <c r="D907" s="7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7"/>
      <c r="C908" s="7"/>
      <c r="D908" s="7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7"/>
      <c r="C909" s="7"/>
      <c r="D909" s="7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7"/>
      <c r="C910" s="7"/>
      <c r="D910" s="7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7"/>
      <c r="C911" s="7"/>
      <c r="D911" s="7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7"/>
      <c r="C912" s="7"/>
      <c r="D912" s="7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7"/>
      <c r="C913" s="7"/>
      <c r="D913" s="7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7"/>
      <c r="C914" s="7"/>
      <c r="D914" s="7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7"/>
      <c r="C915" s="7"/>
      <c r="D915" s="7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7"/>
      <c r="C916" s="7"/>
      <c r="D916" s="7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7"/>
      <c r="C917" s="7"/>
      <c r="D917" s="7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7"/>
      <c r="C918" s="7"/>
      <c r="D918" s="7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7"/>
      <c r="C919" s="7"/>
      <c r="D919" s="7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7"/>
      <c r="C920" s="7"/>
      <c r="D920" s="7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7"/>
      <c r="C921" s="7"/>
      <c r="D921" s="7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7"/>
      <c r="C922" s="7"/>
      <c r="D922" s="7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7"/>
      <c r="C923" s="7"/>
      <c r="D923" s="7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7"/>
      <c r="C924" s="7"/>
      <c r="D924" s="7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7"/>
      <c r="C925" s="7"/>
      <c r="D925" s="7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7"/>
      <c r="C926" s="7"/>
      <c r="D926" s="7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7"/>
      <c r="C927" s="7"/>
      <c r="D927" s="7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7"/>
      <c r="C928" s="7"/>
      <c r="D928" s="7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7"/>
      <c r="C929" s="7"/>
      <c r="D929" s="7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7"/>
      <c r="C930" s="7"/>
      <c r="D930" s="7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7"/>
      <c r="C931" s="7"/>
      <c r="D931" s="7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7"/>
      <c r="C932" s="7"/>
      <c r="D932" s="7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7"/>
      <c r="C933" s="7"/>
      <c r="D933" s="7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7"/>
      <c r="C934" s="7"/>
      <c r="D934" s="7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7"/>
      <c r="C935" s="7"/>
      <c r="D935" s="7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7"/>
      <c r="C936" s="7"/>
      <c r="D936" s="7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7"/>
      <c r="C937" s="7"/>
      <c r="D937" s="7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7"/>
      <c r="C938" s="7"/>
      <c r="D938" s="7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7"/>
      <c r="C939" s="7"/>
      <c r="D939" s="7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7"/>
      <c r="C940" s="7"/>
      <c r="D940" s="7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7"/>
      <c r="C941" s="7"/>
      <c r="D941" s="7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7"/>
      <c r="C942" s="7"/>
      <c r="D942" s="7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7"/>
      <c r="C943" s="7"/>
      <c r="D943" s="7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7"/>
      <c r="C944" s="7"/>
      <c r="D944" s="7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7"/>
      <c r="C945" s="7"/>
      <c r="D945" s="7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7"/>
      <c r="C946" s="7"/>
      <c r="D946" s="7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7"/>
      <c r="C947" s="7"/>
      <c r="D947" s="7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7"/>
      <c r="C948" s="7"/>
      <c r="D948" s="7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7"/>
      <c r="C949" s="7"/>
      <c r="D949" s="7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7"/>
      <c r="C950" s="7"/>
      <c r="D950" s="7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7"/>
      <c r="C951" s="7"/>
      <c r="D951" s="7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7"/>
      <c r="C952" s="7"/>
      <c r="D952" s="7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7"/>
      <c r="C953" s="7"/>
      <c r="D953" s="7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7"/>
      <c r="C954" s="7"/>
      <c r="D954" s="7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7"/>
      <c r="C955" s="7"/>
      <c r="D955" s="7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7"/>
      <c r="C956" s="7"/>
      <c r="D956" s="7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7"/>
      <c r="C957" s="7"/>
      <c r="D957" s="7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7"/>
      <c r="C958" s="7"/>
      <c r="D958" s="7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7"/>
      <c r="C959" s="7"/>
      <c r="D959" s="7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7"/>
      <c r="C960" s="7"/>
      <c r="D960" s="7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7"/>
      <c r="C961" s="7"/>
      <c r="D961" s="7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7"/>
      <c r="C962" s="7"/>
      <c r="D962" s="7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7"/>
      <c r="C963" s="7"/>
      <c r="D963" s="7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7"/>
      <c r="C964" s="7"/>
      <c r="D964" s="7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7"/>
      <c r="C965" s="7"/>
      <c r="D965" s="7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7"/>
      <c r="C966" s="7"/>
      <c r="D966" s="7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7"/>
      <c r="C967" s="7"/>
      <c r="D967" s="7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7"/>
      <c r="C968" s="7"/>
      <c r="D968" s="7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7"/>
      <c r="C969" s="7"/>
      <c r="D969" s="7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7"/>
      <c r="C970" s="7"/>
      <c r="D970" s="7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7"/>
      <c r="C971" s="7"/>
      <c r="D971" s="7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7"/>
      <c r="C972" s="7"/>
      <c r="D972" s="7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7"/>
      <c r="C973" s="7"/>
      <c r="D973" s="7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7"/>
      <c r="C974" s="7"/>
      <c r="D974" s="7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7"/>
      <c r="C975" s="7"/>
      <c r="D975" s="7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7"/>
      <c r="C976" s="7"/>
      <c r="D976" s="7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7"/>
      <c r="C977" s="7"/>
      <c r="D977" s="7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7"/>
      <c r="C978" s="7"/>
      <c r="D978" s="7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7"/>
      <c r="C979" s="7"/>
      <c r="D979" s="7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7"/>
      <c r="C980" s="7"/>
      <c r="D980" s="7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7"/>
      <c r="C981" s="7"/>
      <c r="D981" s="7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7"/>
      <c r="C982" s="7"/>
      <c r="D982" s="7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7"/>
      <c r="C983" s="7"/>
      <c r="D983" s="7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7"/>
      <c r="C984" s="7"/>
      <c r="D984" s="7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7"/>
      <c r="C985" s="7"/>
      <c r="D985" s="7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7"/>
      <c r="C986" s="7"/>
      <c r="D986" s="7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7"/>
      <c r="C987" s="7"/>
      <c r="D987" s="7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7"/>
      <c r="C988" s="7"/>
      <c r="D988" s="7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7"/>
      <c r="C989" s="7"/>
      <c r="D989" s="7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7"/>
      <c r="C990" s="7"/>
      <c r="D990" s="7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7"/>
      <c r="C991" s="7"/>
      <c r="D991" s="7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7"/>
      <c r="C992" s="7"/>
      <c r="D992" s="7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7"/>
      <c r="C993" s="7"/>
      <c r="D993" s="7"/>
      <c r="E993" s="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7"/>
      <c r="C994" s="7"/>
      <c r="D994" s="7"/>
      <c r="E994" s="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7"/>
      <c r="C995" s="7"/>
      <c r="D995" s="7"/>
      <c r="E995" s="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7"/>
      <c r="C996" s="7"/>
      <c r="D996" s="7"/>
      <c r="E996" s="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7"/>
      <c r="C997" s="7"/>
      <c r="D997" s="7"/>
      <c r="E997" s="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7"/>
      <c r="C998" s="7"/>
      <c r="D998" s="7"/>
      <c r="E998" s="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7"/>
      <c r="C999" s="7"/>
      <c r="D999" s="7"/>
      <c r="E999" s="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7"/>
      <c r="C1000" s="7"/>
      <c r="D1000" s="7"/>
      <c r="E1000" s="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3:F25" xr:uid="{00000000-0009-0000-0000-000008000000}"/>
  <pageMargins left="0.69930555555555596" right="0.69930555555555596" top="0.75" bottom="0.75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2060"/>
  </sheetPr>
  <dimension ref="A1:W10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K7" sqref="K7"/>
    </sheetView>
  </sheetViews>
  <sheetFormatPr defaultColWidth="12.59765625" defaultRowHeight="15" customHeight="1"/>
  <cols>
    <col min="1" max="1" width="13.69921875" customWidth="1"/>
    <col min="2" max="2" width="36.09765625" style="87" customWidth="1"/>
    <col min="3" max="4" width="9.19921875" customWidth="1"/>
    <col min="5" max="5" width="3.09765625" customWidth="1"/>
    <col min="6" max="23" width="9.09765625" customWidth="1"/>
  </cols>
  <sheetData>
    <row r="1" spans="1:23" ht="13.5" customHeight="1">
      <c r="A1" s="11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5" customHeight="1">
      <c r="A2" s="2" t="s">
        <v>507</v>
      </c>
      <c r="C2" s="11" t="s">
        <v>487</v>
      </c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3.5" customHeight="1">
      <c r="A3" s="11"/>
      <c r="C3" s="7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6" customHeight="1">
      <c r="A4" s="12" t="s">
        <v>263</v>
      </c>
      <c r="B4" s="94" t="s">
        <v>264</v>
      </c>
      <c r="C4" s="13" t="s">
        <v>28</v>
      </c>
      <c r="D4" s="14" t="s">
        <v>265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1.75" customHeight="1">
      <c r="A5" s="51"/>
      <c r="B5" s="91" t="s">
        <v>367</v>
      </c>
      <c r="C5" s="8"/>
      <c r="D5" s="5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.75" customHeight="1">
      <c r="A6" s="51"/>
      <c r="B6" s="111" t="s">
        <v>368</v>
      </c>
      <c r="C6" s="14"/>
      <c r="D6" s="88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1.75" customHeight="1">
      <c r="A7" s="110"/>
      <c r="B7" s="114" t="s">
        <v>455</v>
      </c>
      <c r="C7" s="115" t="s">
        <v>30</v>
      </c>
      <c r="D7" s="115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1.75" customHeight="1">
      <c r="A8" s="17"/>
      <c r="B8" s="97" t="s">
        <v>315</v>
      </c>
      <c r="C8" s="112" t="s">
        <v>30</v>
      </c>
      <c r="D8" s="113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1.75" customHeight="1">
      <c r="A9" s="98"/>
      <c r="B9" s="103" t="s">
        <v>320</v>
      </c>
      <c r="C9" s="104" t="s">
        <v>30</v>
      </c>
      <c r="D9" s="100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1.75" customHeight="1">
      <c r="A10" s="98"/>
      <c r="B10" s="103" t="s">
        <v>456</v>
      </c>
      <c r="C10" s="104" t="s">
        <v>30</v>
      </c>
      <c r="D10" s="100">
        <v>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1.75" customHeight="1">
      <c r="A11" s="98"/>
      <c r="B11" s="105" t="s">
        <v>407</v>
      </c>
      <c r="C11" s="104"/>
      <c r="D11" s="90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1.75" customHeight="1">
      <c r="A12" s="98"/>
      <c r="B12" s="105" t="s">
        <v>408</v>
      </c>
      <c r="C12" s="104"/>
      <c r="D12" s="90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1.75" customHeight="1">
      <c r="A13" s="98"/>
      <c r="B13" s="103" t="s">
        <v>322</v>
      </c>
      <c r="C13" s="104" t="s">
        <v>30</v>
      </c>
      <c r="D13" s="100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1.75" customHeight="1">
      <c r="A14" s="98"/>
      <c r="B14" s="105" t="s">
        <v>488</v>
      </c>
      <c r="C14" s="89"/>
      <c r="D14" s="90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1.75" customHeight="1">
      <c r="A15" s="98"/>
      <c r="B15" s="105" t="s">
        <v>489</v>
      </c>
      <c r="C15" s="89"/>
      <c r="D15" s="90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1.75" customHeight="1">
      <c r="A16" s="99"/>
      <c r="B16" s="103" t="s">
        <v>330</v>
      </c>
      <c r="C16" s="104" t="s">
        <v>30</v>
      </c>
      <c r="D16" s="100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1.75" customHeight="1">
      <c r="A17" s="99"/>
      <c r="B17" s="105" t="s">
        <v>490</v>
      </c>
      <c r="C17" s="89"/>
      <c r="D17" s="90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1.75" customHeight="1">
      <c r="A18" s="99"/>
      <c r="B18" s="105" t="s">
        <v>491</v>
      </c>
      <c r="C18" s="89"/>
      <c r="D18" s="90">
        <v>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1.75" customHeight="1">
      <c r="A19" s="99"/>
      <c r="B19" s="103" t="s">
        <v>492</v>
      </c>
      <c r="C19" s="104" t="s">
        <v>30</v>
      </c>
      <c r="D19" s="100">
        <v>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.75" customHeight="1">
      <c r="A20" s="99"/>
      <c r="B20" s="105" t="s">
        <v>493</v>
      </c>
      <c r="C20" s="89"/>
      <c r="D20" s="90"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customHeight="1">
      <c r="A21" s="99"/>
      <c r="B21" s="105" t="s">
        <v>494</v>
      </c>
      <c r="C21" s="89"/>
      <c r="D21" s="90">
        <v>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customHeight="1">
      <c r="A22" s="98"/>
      <c r="B22" s="103" t="s">
        <v>326</v>
      </c>
      <c r="C22" s="104" t="s">
        <v>30</v>
      </c>
      <c r="D22" s="100">
        <v>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customHeight="1">
      <c r="A23" s="99"/>
      <c r="B23" s="103" t="s">
        <v>328</v>
      </c>
      <c r="C23" s="104" t="s">
        <v>30</v>
      </c>
      <c r="D23" s="100">
        <v>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customHeight="1">
      <c r="A24" s="99"/>
      <c r="B24" s="105" t="s">
        <v>495</v>
      </c>
      <c r="C24" s="89"/>
      <c r="D24" s="90">
        <v>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customHeight="1">
      <c r="A25" s="99"/>
      <c r="B25" s="105" t="s">
        <v>496</v>
      </c>
      <c r="C25" s="89"/>
      <c r="D25" s="90">
        <v>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customHeight="1">
      <c r="A26" s="98"/>
      <c r="B26" s="103" t="s">
        <v>457</v>
      </c>
      <c r="C26" s="104" t="s">
        <v>30</v>
      </c>
      <c r="D26" s="100">
        <v>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customHeight="1">
      <c r="A27" s="98"/>
      <c r="B27" s="105" t="s">
        <v>497</v>
      </c>
      <c r="C27" s="89"/>
      <c r="D27" s="90">
        <v>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customHeight="1">
      <c r="A28" s="98"/>
      <c r="B28" s="105" t="s">
        <v>498</v>
      </c>
      <c r="C28" s="89"/>
      <c r="D28" s="90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customHeight="1">
      <c r="A29" s="99"/>
      <c r="B29" s="109" t="s">
        <v>458</v>
      </c>
      <c r="C29" s="104" t="s">
        <v>30</v>
      </c>
      <c r="D29" s="100">
        <v>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customHeight="1">
      <c r="A30" s="99"/>
      <c r="B30" s="106" t="s">
        <v>499</v>
      </c>
      <c r="C30" s="89"/>
      <c r="D30" s="90">
        <v>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customHeight="1">
      <c r="A31" s="99"/>
      <c r="B31" s="106" t="s">
        <v>500</v>
      </c>
      <c r="C31" s="89"/>
      <c r="D31" s="90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customHeight="1">
      <c r="A32" s="99"/>
      <c r="B32" s="107" t="s">
        <v>459</v>
      </c>
      <c r="C32" s="108" t="s">
        <v>30</v>
      </c>
      <c r="D32" s="101">
        <v>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customHeight="1">
      <c r="A33" s="99"/>
      <c r="B33" s="109" t="s">
        <v>460</v>
      </c>
      <c r="C33" s="104" t="s">
        <v>30</v>
      </c>
      <c r="D33" s="100">
        <v>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customHeight="1">
      <c r="A34" s="16"/>
      <c r="B34" s="102" t="s">
        <v>461</v>
      </c>
      <c r="C34" s="39"/>
      <c r="D34" s="5">
        <v>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customHeight="1">
      <c r="A35" s="17"/>
      <c r="B35" s="92" t="s">
        <v>462</v>
      </c>
      <c r="C35" s="5"/>
      <c r="D35" s="5">
        <v>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customHeight="1">
      <c r="A36" s="16"/>
      <c r="B36" s="92" t="s">
        <v>463</v>
      </c>
      <c r="C36" s="5"/>
      <c r="D36" s="5">
        <v>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customHeight="1">
      <c r="A37" s="15"/>
      <c r="B37" s="92" t="s">
        <v>464</v>
      </c>
      <c r="C37" s="5"/>
      <c r="D37" s="5">
        <v>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customHeight="1">
      <c r="A38" s="17"/>
      <c r="B38" s="92" t="s">
        <v>465</v>
      </c>
      <c r="C38" s="5"/>
      <c r="D38" s="5">
        <v>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customHeight="1">
      <c r="A39" s="16"/>
      <c r="B39" s="92" t="s">
        <v>466</v>
      </c>
      <c r="C39" s="5"/>
      <c r="D39" s="5">
        <v>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customHeight="1">
      <c r="A40" s="16"/>
      <c r="B40" s="93" t="s">
        <v>361</v>
      </c>
      <c r="C40" s="8" t="s">
        <v>30</v>
      </c>
      <c r="D40" s="8">
        <v>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customHeight="1">
      <c r="A41" s="17"/>
      <c r="B41" s="92" t="s">
        <v>467</v>
      </c>
      <c r="C41" s="5"/>
      <c r="D41" s="5">
        <v>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customHeight="1">
      <c r="A42" s="16"/>
      <c r="B42" s="92" t="s">
        <v>469</v>
      </c>
      <c r="C42" s="5"/>
      <c r="D42" s="5">
        <v>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customHeight="1">
      <c r="A43" s="16"/>
      <c r="B43" s="92" t="s">
        <v>468</v>
      </c>
      <c r="C43" s="5"/>
      <c r="D43" s="5">
        <v>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customHeight="1">
      <c r="A44" s="16"/>
      <c r="B44" s="92" t="s">
        <v>470</v>
      </c>
      <c r="C44" s="5"/>
      <c r="D44" s="5">
        <v>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customHeight="1">
      <c r="A45" s="17"/>
      <c r="B45" s="92" t="s">
        <v>471</v>
      </c>
      <c r="C45" s="5"/>
      <c r="D45" s="5">
        <v>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customHeight="1">
      <c r="A46" s="16"/>
      <c r="B46" s="92" t="s">
        <v>472</v>
      </c>
      <c r="C46" s="5"/>
      <c r="D46" s="5">
        <v>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customHeight="1">
      <c r="A47" s="16"/>
      <c r="B47" s="92" t="s">
        <v>473</v>
      </c>
      <c r="C47" s="5"/>
      <c r="D47" s="5">
        <v>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customHeight="1">
      <c r="A48" s="17"/>
      <c r="B48" s="92" t="s">
        <v>474</v>
      </c>
      <c r="C48" s="5"/>
      <c r="D48" s="5">
        <v>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customHeight="1">
      <c r="A49" s="16"/>
      <c r="B49" s="93" t="s">
        <v>363</v>
      </c>
      <c r="C49" s="8" t="s">
        <v>30</v>
      </c>
      <c r="D49" s="8">
        <v>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.75" customHeight="1">
      <c r="A50" s="16"/>
      <c r="B50" s="92" t="s">
        <v>475</v>
      </c>
      <c r="C50" s="5"/>
      <c r="D50" s="5">
        <v>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.75" customHeight="1">
      <c r="A51" s="17"/>
      <c r="B51" s="92" t="s">
        <v>476</v>
      </c>
      <c r="C51" s="5"/>
      <c r="D51" s="5">
        <v>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.75" customHeight="1">
      <c r="A52" s="16"/>
      <c r="B52" s="92" t="s">
        <v>477</v>
      </c>
      <c r="C52" s="5"/>
      <c r="D52" s="5">
        <v>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.75" customHeight="1">
      <c r="A53" s="17"/>
      <c r="B53" s="92" t="s">
        <v>478</v>
      </c>
      <c r="C53" s="5"/>
      <c r="D53" s="5">
        <v>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.75" customHeight="1">
      <c r="A54" s="16"/>
      <c r="B54" s="95" t="s">
        <v>479</v>
      </c>
      <c r="C54" s="96" t="s">
        <v>30</v>
      </c>
      <c r="D54" s="96">
        <v>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.75" customHeight="1">
      <c r="A55" s="15"/>
      <c r="B55" s="93" t="s">
        <v>480</v>
      </c>
      <c r="C55" s="8" t="s">
        <v>30</v>
      </c>
      <c r="D55" s="8">
        <v>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.75" customHeight="1">
      <c r="A56" s="17"/>
      <c r="B56" s="93" t="s">
        <v>336</v>
      </c>
      <c r="C56" s="8"/>
      <c r="D56" s="8">
        <v>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.75" customHeight="1">
      <c r="A57" s="17"/>
      <c r="B57" s="92" t="s">
        <v>501</v>
      </c>
      <c r="C57" s="5"/>
      <c r="D57" s="5">
        <v>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.75" customHeight="1">
      <c r="A58" s="17"/>
      <c r="B58" s="92" t="s">
        <v>502</v>
      </c>
      <c r="C58" s="5"/>
      <c r="D58" s="5">
        <v>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.75" customHeight="1">
      <c r="A59" s="16"/>
      <c r="B59" s="93" t="s">
        <v>341</v>
      </c>
      <c r="C59" s="8"/>
      <c r="D59" s="8">
        <v>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.75" customHeight="1">
      <c r="A60" s="16"/>
      <c r="B60" s="92" t="s">
        <v>503</v>
      </c>
      <c r="C60" s="5"/>
      <c r="D60" s="5">
        <v>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.75" customHeight="1">
      <c r="A61" s="17"/>
      <c r="B61" s="93" t="s">
        <v>349</v>
      </c>
      <c r="C61" s="8" t="s">
        <v>30</v>
      </c>
      <c r="D61" s="8">
        <v>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.75" customHeight="1">
      <c r="A62" s="16"/>
      <c r="B62" s="93" t="s">
        <v>481</v>
      </c>
      <c r="C62" s="8" t="s">
        <v>30</v>
      </c>
      <c r="D62" s="8">
        <v>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.75" customHeight="1">
      <c r="A63" s="16"/>
      <c r="B63" s="92" t="s">
        <v>504</v>
      </c>
      <c r="C63" s="5"/>
      <c r="D63" s="5">
        <v>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.75" customHeight="1">
      <c r="A64" s="17"/>
      <c r="B64" s="93" t="s">
        <v>482</v>
      </c>
      <c r="C64" s="8" t="s">
        <v>30</v>
      </c>
      <c r="D64" s="8">
        <v>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.75" customHeight="1">
      <c r="A65" s="17"/>
      <c r="B65" s="92" t="s">
        <v>505</v>
      </c>
      <c r="C65" s="5"/>
      <c r="D65" s="5">
        <v>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.75" customHeight="1">
      <c r="A66" s="16"/>
      <c r="B66" s="93" t="s">
        <v>483</v>
      </c>
      <c r="C66" s="8" t="s">
        <v>30</v>
      </c>
      <c r="D66" s="8">
        <v>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.75" customHeight="1">
      <c r="A67" s="16"/>
      <c r="B67" s="92" t="s">
        <v>506</v>
      </c>
      <c r="C67" s="5"/>
      <c r="D67" s="5">
        <v>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.75" customHeight="1">
      <c r="A68" s="17"/>
      <c r="B68" s="93" t="s">
        <v>484</v>
      </c>
      <c r="C68" s="8" t="s">
        <v>30</v>
      </c>
      <c r="D68" s="8">
        <v>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.75" customHeight="1">
      <c r="A69" s="16"/>
      <c r="B69" s="93" t="s">
        <v>485</v>
      </c>
      <c r="C69" s="8" t="s">
        <v>30</v>
      </c>
      <c r="D69" s="8">
        <v>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.75" customHeight="1">
      <c r="A70" s="16"/>
      <c r="B70" s="92" t="s">
        <v>508</v>
      </c>
      <c r="C70" s="5"/>
      <c r="D70" s="5">
        <v>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.75" customHeight="1">
      <c r="A71" s="16"/>
      <c r="B71" s="93" t="s">
        <v>486</v>
      </c>
      <c r="C71" s="8" t="s">
        <v>30</v>
      </c>
      <c r="D71" s="8">
        <v>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.75" customHeight="1">
      <c r="A72" s="16"/>
      <c r="B72" s="92" t="s">
        <v>509</v>
      </c>
      <c r="C72" s="5"/>
      <c r="D72" s="5">
        <v>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.75" customHeight="1">
      <c r="A73" s="17"/>
      <c r="B73" s="92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.75" customHeight="1">
      <c r="A74" s="16"/>
      <c r="B74" s="92"/>
      <c r="C74" s="5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.75" customHeight="1">
      <c r="A75" s="15"/>
      <c r="B75" s="92"/>
      <c r="C75" s="5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.75" customHeight="1">
      <c r="A76" s="17"/>
      <c r="B76" s="92"/>
      <c r="C76" s="5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.75" customHeight="1">
      <c r="A77" s="16"/>
      <c r="B77" s="92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.75" customHeight="1">
      <c r="A78" s="16"/>
      <c r="B78" s="92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.75" customHeight="1">
      <c r="A79" s="17"/>
      <c r="B79" s="92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.75" customHeight="1">
      <c r="A80" s="16"/>
      <c r="B80" s="92"/>
      <c r="C80" s="5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.75" customHeight="1">
      <c r="A81" s="17"/>
      <c r="B81" s="92"/>
      <c r="C81" s="5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.75" customHeight="1">
      <c r="A82" s="16"/>
      <c r="B82" s="92"/>
      <c r="C82" s="5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1.75" customHeight="1">
      <c r="A83" s="15"/>
      <c r="B83" s="92"/>
      <c r="C83" s="5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1.75" customHeight="1">
      <c r="A84" s="17"/>
      <c r="B84" s="92"/>
      <c r="C84" s="5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1.75" customHeight="1">
      <c r="A85" s="16"/>
      <c r="B85" s="92"/>
      <c r="C85" s="5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1.75" customHeight="1">
      <c r="A86" s="17"/>
      <c r="B86" s="92"/>
      <c r="C86" s="5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1.75" customHeight="1">
      <c r="A87" s="16"/>
      <c r="B87" s="92"/>
      <c r="C87" s="5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1.75" customHeight="1">
      <c r="A88" s="17"/>
      <c r="B88" s="92"/>
      <c r="C88" s="5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1.75" customHeight="1">
      <c r="A89" s="16"/>
      <c r="B89" s="92"/>
      <c r="C89" s="5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1.75" customHeight="1">
      <c r="A90" s="16"/>
      <c r="B90" s="92"/>
      <c r="C90" s="5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1.75" customHeight="1">
      <c r="A91" s="15"/>
      <c r="B91" s="92"/>
      <c r="C91" s="5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1.75" customHeight="1">
      <c r="A92" s="17"/>
      <c r="B92" s="92"/>
      <c r="C92" s="5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1.75" customHeight="1">
      <c r="A93" s="16"/>
      <c r="B93" s="92"/>
      <c r="C93" s="5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1.75" customHeight="1">
      <c r="A94" s="16"/>
      <c r="B94" s="92"/>
      <c r="C94" s="5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1.75" customHeight="1">
      <c r="A95" s="15"/>
      <c r="B95" s="92"/>
      <c r="C95" s="5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1.75" customHeight="1">
      <c r="A96" s="17"/>
      <c r="B96" s="92"/>
      <c r="C96" s="5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1.75" customHeight="1">
      <c r="A97" s="16"/>
      <c r="B97" s="92"/>
      <c r="C97" s="5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1.75" customHeight="1">
      <c r="A98" s="16"/>
      <c r="B98" s="92"/>
      <c r="C98" s="5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1.75" customHeight="1">
      <c r="A99" s="17"/>
      <c r="B99" s="92"/>
      <c r="C99" s="5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1.75" customHeight="1">
      <c r="A100" s="16"/>
      <c r="B100" s="92"/>
      <c r="C100" s="5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1.75" customHeight="1">
      <c r="A101" s="16"/>
      <c r="B101" s="92"/>
      <c r="C101" s="5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1.75" customHeight="1">
      <c r="A102" s="17"/>
      <c r="B102" s="92"/>
      <c r="C102" s="5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.75" customHeight="1">
      <c r="A103" s="16"/>
      <c r="B103" s="92"/>
      <c r="C103" s="5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.75" customHeight="1">
      <c r="A104" s="15"/>
      <c r="B104" s="92"/>
      <c r="C104" s="5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.75" customHeight="1">
      <c r="A105" s="17"/>
      <c r="B105" s="92"/>
      <c r="C105" s="5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.75" customHeight="1">
      <c r="A106" s="16"/>
      <c r="B106" s="92"/>
      <c r="C106" s="5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.75" customHeight="1">
      <c r="A107" s="17"/>
      <c r="B107" s="92"/>
      <c r="C107" s="5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.75" customHeight="1">
      <c r="A108" s="16"/>
      <c r="B108" s="92"/>
      <c r="C108" s="5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.75" customHeight="1">
      <c r="A109" s="16"/>
      <c r="B109" s="92"/>
      <c r="C109" s="5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.75" customHeight="1">
      <c r="A110" s="16"/>
      <c r="B110" s="92"/>
      <c r="C110" s="5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.75" customHeight="1">
      <c r="A111" s="15"/>
      <c r="B111" s="92"/>
      <c r="C111" s="5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.75" customHeight="1">
      <c r="A112" s="17"/>
      <c r="B112" s="92"/>
      <c r="C112" s="5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.75" customHeight="1">
      <c r="A113" s="16"/>
      <c r="B113" s="92"/>
      <c r="C113" s="5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.75" customHeight="1">
      <c r="A114" s="17"/>
      <c r="B114" s="92"/>
      <c r="C114" s="5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.75" customHeight="1">
      <c r="A115" s="16"/>
      <c r="B115" s="92"/>
      <c r="C115" s="5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.75" customHeight="1">
      <c r="A116" s="16"/>
      <c r="B116" s="92"/>
      <c r="C116" s="5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.75" customHeight="1">
      <c r="A117" s="16"/>
      <c r="B117" s="92"/>
      <c r="C117" s="5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.75" customHeight="1">
      <c r="A118" s="17"/>
      <c r="B118" s="92"/>
      <c r="C118" s="5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.75" customHeight="1">
      <c r="A119" s="16"/>
      <c r="B119" s="92"/>
      <c r="C119" s="5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.75" customHeight="1">
      <c r="A120" s="15"/>
      <c r="B120" s="92"/>
      <c r="C120" s="5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.75" customHeight="1">
      <c r="A121" s="17"/>
      <c r="B121" s="92"/>
      <c r="C121" s="5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.75" customHeight="1">
      <c r="A122" s="16"/>
      <c r="B122" s="92"/>
      <c r="C122" s="5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.75" customHeight="1">
      <c r="A123" s="16"/>
      <c r="B123" s="92"/>
      <c r="C123" s="5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.75" customHeight="1">
      <c r="A124" s="17"/>
      <c r="B124" s="92"/>
      <c r="C124" s="5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.75" customHeight="1">
      <c r="A125" s="16"/>
      <c r="B125" s="92"/>
      <c r="C125" s="5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.75" customHeight="1">
      <c r="A126" s="17"/>
      <c r="B126" s="92"/>
      <c r="C126" s="5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.75" customHeight="1">
      <c r="A127" s="16"/>
      <c r="B127" s="92"/>
      <c r="C127" s="5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.75" customHeight="1">
      <c r="A128" s="17"/>
      <c r="B128" s="92"/>
      <c r="C128" s="5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.75" customHeight="1">
      <c r="A129" s="16"/>
      <c r="B129" s="92"/>
      <c r="C129" s="5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.75" customHeight="1">
      <c r="A130" s="15"/>
      <c r="B130" s="92"/>
      <c r="C130" s="5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.75" customHeight="1">
      <c r="A131" s="17"/>
      <c r="B131" s="92"/>
      <c r="C131" s="5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1.75" customHeight="1">
      <c r="A132" s="16"/>
      <c r="B132" s="92"/>
      <c r="C132" s="5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1.75" customHeight="1">
      <c r="A133" s="16"/>
      <c r="B133" s="92"/>
      <c r="C133" s="5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1.75" customHeight="1">
      <c r="A134" s="17"/>
      <c r="B134" s="92"/>
      <c r="C134" s="5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1.75" customHeight="1">
      <c r="A135" s="16"/>
      <c r="B135" s="92"/>
      <c r="C135" s="5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1.75" customHeight="1">
      <c r="A136" s="16"/>
      <c r="B136" s="92"/>
      <c r="C136" s="5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1.75" customHeight="1">
      <c r="A137" s="16"/>
      <c r="B137" s="92"/>
      <c r="C137" s="5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1.75" customHeight="1">
      <c r="A138" s="16"/>
      <c r="B138" s="92"/>
      <c r="C138" s="5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1.75" customHeight="1">
      <c r="A139" s="16"/>
      <c r="B139" s="92"/>
      <c r="C139" s="5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1.75" customHeight="1">
      <c r="A140" s="17"/>
      <c r="B140" s="92"/>
      <c r="C140" s="5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1.75" customHeight="1">
      <c r="A141" s="16"/>
      <c r="B141" s="92"/>
      <c r="C141" s="5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1.75" customHeight="1">
      <c r="A142" s="16"/>
      <c r="B142" s="92"/>
      <c r="C142" s="5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1.75" customHeight="1">
      <c r="A143" s="16"/>
      <c r="B143" s="92"/>
      <c r="C143" s="5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1.75" customHeight="1">
      <c r="A144" s="17"/>
      <c r="B144" s="92"/>
      <c r="C144" s="5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1.75" customHeight="1">
      <c r="A145" s="16"/>
      <c r="B145" s="92"/>
      <c r="C145" s="5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1.75" customHeight="1">
      <c r="A146" s="16"/>
      <c r="B146" s="92"/>
      <c r="C146" s="5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1.75" customHeight="1">
      <c r="A147" s="15"/>
      <c r="B147" s="92"/>
      <c r="C147" s="5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1.75" customHeight="1">
      <c r="A148" s="17"/>
      <c r="B148" s="92"/>
      <c r="C148" s="5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1.75" customHeight="1">
      <c r="A149" s="16"/>
      <c r="B149" s="92"/>
      <c r="C149" s="5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1.75" customHeight="1">
      <c r="A150" s="15"/>
      <c r="B150" s="92"/>
      <c r="C150" s="5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1.75" customHeight="1">
      <c r="A151" s="17"/>
      <c r="B151" s="92"/>
      <c r="C151" s="5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.75" customHeight="1">
      <c r="A152" s="16"/>
      <c r="B152" s="92"/>
      <c r="C152" s="18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.75" customHeight="1">
      <c r="A153" s="16"/>
      <c r="B153" s="92"/>
      <c r="C153" s="18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.75" customHeight="1">
      <c r="A154" s="16"/>
      <c r="B154" s="92"/>
      <c r="C154" s="18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.75" customHeight="1">
      <c r="A155" s="16"/>
      <c r="B155" s="92"/>
      <c r="C155" s="18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.75" customHeight="1">
      <c r="A156" s="16"/>
      <c r="B156" s="92"/>
      <c r="C156" s="18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.75" customHeight="1">
      <c r="A157" s="16"/>
      <c r="B157" s="92"/>
      <c r="C157" s="18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.75" customHeight="1">
      <c r="A158" s="16"/>
      <c r="B158" s="92"/>
      <c r="C158" s="18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.75" customHeight="1">
      <c r="A159" s="16"/>
      <c r="B159" s="92"/>
      <c r="C159" s="5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.75" customHeight="1">
      <c r="A160" s="16"/>
      <c r="B160" s="92"/>
      <c r="C160" s="5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.75" customHeight="1">
      <c r="A161" s="16"/>
      <c r="B161" s="92"/>
      <c r="C161" s="5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.75" customHeight="1">
      <c r="A162" s="16"/>
      <c r="B162" s="92"/>
      <c r="C162" s="5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.75" customHeight="1">
      <c r="A163" s="6"/>
      <c r="B163" s="91"/>
      <c r="C163" s="5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.75" customHeight="1">
      <c r="A164" s="6"/>
      <c r="B164" s="91"/>
      <c r="C164" s="5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.75" customHeight="1">
      <c r="A165" s="6"/>
      <c r="B165" s="91"/>
      <c r="C165" s="5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.75" customHeight="1">
      <c r="A166" s="6"/>
      <c r="B166" s="91"/>
      <c r="C166" s="5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.75" customHeight="1">
      <c r="A167" s="6"/>
      <c r="B167" s="91"/>
      <c r="C167" s="5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.75" customHeight="1">
      <c r="A168" s="6"/>
      <c r="B168" s="91"/>
      <c r="C168" s="5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.75" customHeight="1">
      <c r="A169" s="6"/>
      <c r="B169" s="91"/>
      <c r="C169" s="5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.75" customHeight="1">
      <c r="A170" s="6"/>
      <c r="B170" s="91"/>
      <c r="C170" s="5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.75" customHeight="1">
      <c r="A171" s="6"/>
      <c r="B171" s="91"/>
      <c r="C171" s="5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.75" customHeight="1">
      <c r="A172" s="6"/>
      <c r="B172" s="91"/>
      <c r="C172" s="5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.75" customHeight="1">
      <c r="A173" s="6"/>
      <c r="B173" s="91"/>
      <c r="C173" s="5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.75" customHeight="1">
      <c r="A174" s="6"/>
      <c r="B174" s="91"/>
      <c r="C174" s="5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.75" customHeight="1">
      <c r="A175" s="6"/>
      <c r="B175" s="91"/>
      <c r="C175" s="5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.75" customHeight="1">
      <c r="A176" s="6"/>
      <c r="B176" s="91"/>
      <c r="C176" s="5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.75" customHeight="1">
      <c r="A177" s="6"/>
      <c r="B177" s="91"/>
      <c r="C177" s="5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.75" customHeight="1">
      <c r="A178" s="6"/>
      <c r="B178" s="91"/>
      <c r="C178" s="5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.75" customHeight="1">
      <c r="A179" s="6"/>
      <c r="B179" s="91"/>
      <c r="C179" s="5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.75" customHeight="1">
      <c r="A180" s="6"/>
      <c r="B180" s="91"/>
      <c r="C180" s="5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1.75" customHeight="1">
      <c r="A181" s="6"/>
      <c r="B181" s="91"/>
      <c r="C181" s="5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1.75" customHeight="1">
      <c r="A182" s="6"/>
      <c r="B182" s="91"/>
      <c r="C182" s="5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1.75" customHeight="1">
      <c r="A183" s="6"/>
      <c r="B183" s="91"/>
      <c r="C183" s="5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1.75" customHeight="1">
      <c r="A184" s="6"/>
      <c r="B184" s="91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1.75" customHeight="1">
      <c r="A185" s="6"/>
      <c r="B185" s="91"/>
      <c r="C185" s="5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1.75" customHeight="1">
      <c r="A186" s="6"/>
      <c r="B186" s="91"/>
      <c r="C186" s="5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1.75" customHeight="1">
      <c r="A187" s="6"/>
      <c r="B187" s="91"/>
      <c r="C187" s="5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1.75" customHeight="1">
      <c r="A188" s="6"/>
      <c r="B188" s="91"/>
      <c r="C188" s="5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1.75" customHeight="1">
      <c r="A189" s="6"/>
      <c r="B189" s="91"/>
      <c r="C189" s="5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1.75" customHeight="1">
      <c r="A190" s="6"/>
      <c r="B190" s="91"/>
      <c r="C190" s="5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1.75" customHeight="1">
      <c r="A191" s="6"/>
      <c r="B191" s="91"/>
      <c r="C191" s="5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1.75" customHeight="1">
      <c r="A192" s="6"/>
      <c r="B192" s="91"/>
      <c r="C192" s="5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1.75" customHeight="1">
      <c r="A193" s="6"/>
      <c r="B193" s="91"/>
      <c r="C193" s="5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1.75" customHeight="1">
      <c r="A194" s="6"/>
      <c r="B194" s="91"/>
      <c r="C194" s="5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1.75" customHeight="1">
      <c r="A195" s="6"/>
      <c r="B195" s="91"/>
      <c r="C195" s="5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1.75" customHeight="1">
      <c r="A196" s="6"/>
      <c r="B196" s="91"/>
      <c r="C196" s="5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1.75" customHeight="1">
      <c r="A197" s="6"/>
      <c r="B197" s="91"/>
      <c r="C197" s="5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1.75" customHeight="1">
      <c r="A198" s="6"/>
      <c r="B198" s="91"/>
      <c r="C198" s="5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1.75" customHeight="1">
      <c r="A199" s="6"/>
      <c r="B199" s="91"/>
      <c r="C199" s="5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1.75" customHeight="1">
      <c r="A200" s="6"/>
      <c r="B200" s="91"/>
      <c r="C200" s="5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.75" customHeight="1">
      <c r="A201" s="6"/>
      <c r="B201" s="91"/>
      <c r="C201" s="5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.75" customHeight="1">
      <c r="A202" s="6"/>
      <c r="B202" s="91"/>
      <c r="C202" s="5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.75" customHeight="1">
      <c r="A203" s="6"/>
      <c r="B203" s="91"/>
      <c r="C203" s="5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.75" customHeight="1">
      <c r="A204" s="6"/>
      <c r="B204" s="91"/>
      <c r="C204" s="5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.75" customHeight="1">
      <c r="A205" s="6"/>
      <c r="B205" s="91"/>
      <c r="C205" s="5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.75" customHeight="1">
      <c r="A206" s="6"/>
      <c r="B206" s="91"/>
      <c r="C206" s="5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.75" customHeight="1">
      <c r="A207" s="6"/>
      <c r="B207" s="91"/>
      <c r="C207" s="5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.75" customHeight="1">
      <c r="A208" s="6"/>
      <c r="B208" s="91"/>
      <c r="C208" s="5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.75" customHeight="1">
      <c r="A209" s="6"/>
      <c r="B209" s="91"/>
      <c r="C209" s="5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.75" customHeight="1">
      <c r="A210" s="6"/>
      <c r="B210" s="91"/>
      <c r="C210" s="5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.75" customHeight="1">
      <c r="A211" s="6"/>
      <c r="B211" s="91"/>
      <c r="C211" s="5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.75" customHeight="1">
      <c r="A212" s="6"/>
      <c r="B212" s="91"/>
      <c r="C212" s="5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.75" customHeight="1">
      <c r="A213" s="6"/>
      <c r="B213" s="91"/>
      <c r="C213" s="5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.75" customHeight="1">
      <c r="A214" s="6"/>
      <c r="B214" s="91"/>
      <c r="C214" s="5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.75" customHeight="1">
      <c r="A215" s="6"/>
      <c r="B215" s="91"/>
      <c r="C215" s="5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.75" customHeight="1">
      <c r="A216" s="6"/>
      <c r="B216" s="91"/>
      <c r="C216" s="5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.75" customHeight="1">
      <c r="A217" s="6"/>
      <c r="B217" s="91"/>
      <c r="C217" s="5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.75" customHeight="1">
      <c r="A218" s="6"/>
      <c r="B218" s="91"/>
      <c r="C218" s="5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.75" customHeight="1">
      <c r="A219" s="6"/>
      <c r="B219" s="91"/>
      <c r="C219" s="5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.75" customHeight="1">
      <c r="A220" s="6"/>
      <c r="B220" s="91"/>
      <c r="C220" s="5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.75" customHeight="1">
      <c r="A221" s="6"/>
      <c r="B221" s="91"/>
      <c r="C221" s="5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.75" customHeight="1">
      <c r="A222" s="6"/>
      <c r="B222" s="91"/>
      <c r="C222" s="5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.75" customHeight="1">
      <c r="A223" s="6"/>
      <c r="B223" s="91"/>
      <c r="C223" s="5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.75" customHeight="1">
      <c r="A224" s="6"/>
      <c r="B224" s="91"/>
      <c r="C224" s="5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.75" customHeight="1">
      <c r="A225" s="6"/>
      <c r="B225" s="91"/>
      <c r="C225" s="5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.75" customHeight="1">
      <c r="A226" s="6"/>
      <c r="B226" s="91"/>
      <c r="C226" s="5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.75" customHeight="1">
      <c r="A227" s="6"/>
      <c r="B227" s="91"/>
      <c r="C227" s="5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.75" customHeight="1">
      <c r="A228" s="6"/>
      <c r="B228" s="91"/>
      <c r="C228" s="5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.75" customHeight="1">
      <c r="A229" s="6"/>
      <c r="B229" s="91"/>
      <c r="C229" s="5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1.75" customHeight="1">
      <c r="A230" s="6"/>
      <c r="B230" s="91"/>
      <c r="C230" s="5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1.75" customHeight="1">
      <c r="A231" s="6"/>
      <c r="B231" s="91"/>
      <c r="C231" s="5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1.75" customHeight="1">
      <c r="A232" s="6"/>
      <c r="B232" s="91"/>
      <c r="C232" s="5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1.75" customHeight="1">
      <c r="A233" s="6"/>
      <c r="B233" s="91"/>
      <c r="C233" s="5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1.75" customHeight="1">
      <c r="A234" s="6"/>
      <c r="B234" s="91"/>
      <c r="C234" s="5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1.75" customHeight="1">
      <c r="A235" s="6"/>
      <c r="B235" s="91"/>
      <c r="C235" s="5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1.75" customHeight="1">
      <c r="A236" s="6"/>
      <c r="B236" s="91"/>
      <c r="C236" s="5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1.75" customHeight="1">
      <c r="A237" s="6"/>
      <c r="B237" s="91"/>
      <c r="C237" s="5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1.75" customHeight="1">
      <c r="A238" s="6"/>
      <c r="B238" s="91"/>
      <c r="C238" s="5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1.75" customHeight="1">
      <c r="A239" s="6"/>
      <c r="B239" s="91"/>
      <c r="C239" s="5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1.75" customHeight="1">
      <c r="A240" s="6"/>
      <c r="B240" s="91"/>
      <c r="C240" s="5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1.75" customHeight="1">
      <c r="A241" s="6"/>
      <c r="B241" s="91"/>
      <c r="C241" s="5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1.75" customHeight="1">
      <c r="A242" s="6"/>
      <c r="B242" s="91"/>
      <c r="C242" s="5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1.75" customHeight="1">
      <c r="A243" s="6"/>
      <c r="B243" s="91"/>
      <c r="C243" s="5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1.75" customHeight="1">
      <c r="A244" s="6"/>
      <c r="B244" s="91"/>
      <c r="C244" s="5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1.75" customHeight="1">
      <c r="A245" s="6"/>
      <c r="B245" s="91"/>
      <c r="C245" s="5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1.75" customHeight="1">
      <c r="A246" s="6"/>
      <c r="B246" s="91"/>
      <c r="C246" s="5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1.75" customHeight="1">
      <c r="A247" s="6"/>
      <c r="B247" s="91"/>
      <c r="C247" s="5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1.75" customHeight="1">
      <c r="A248" s="6"/>
      <c r="B248" s="91"/>
      <c r="C248" s="5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1.75" customHeight="1">
      <c r="A249" s="6"/>
      <c r="B249" s="91"/>
      <c r="C249" s="5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1.75" customHeight="1">
      <c r="A250" s="6"/>
      <c r="B250" s="91"/>
      <c r="C250" s="5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1.75" customHeight="1">
      <c r="A251" s="6"/>
      <c r="B251" s="91"/>
      <c r="C251" s="5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1.75" customHeight="1">
      <c r="A252" s="6"/>
      <c r="B252" s="91"/>
      <c r="C252" s="5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1.75" customHeight="1">
      <c r="A253" s="6"/>
      <c r="B253" s="91"/>
      <c r="C253" s="5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1.75" customHeight="1">
      <c r="A254" s="6"/>
      <c r="B254" s="91"/>
      <c r="C254" s="5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1.75" customHeight="1">
      <c r="A255" s="11"/>
      <c r="C255" s="7"/>
      <c r="D255" s="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5" customHeight="1">
      <c r="A256" s="11"/>
      <c r="C256" s="7"/>
      <c r="D256" s="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5" customHeight="1">
      <c r="A257" s="11"/>
      <c r="C257" s="7"/>
      <c r="D257" s="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5" customHeight="1">
      <c r="A258" s="11"/>
      <c r="C258" s="7"/>
      <c r="D258" s="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5" customHeight="1">
      <c r="A259" s="11"/>
      <c r="C259" s="7"/>
      <c r="D259" s="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5" customHeight="1">
      <c r="A260" s="11"/>
      <c r="C260" s="7"/>
      <c r="D260" s="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5" customHeight="1">
      <c r="A261" s="11"/>
      <c r="C261" s="7"/>
      <c r="D261" s="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5" customHeight="1">
      <c r="A262" s="11"/>
      <c r="C262" s="7"/>
      <c r="D262" s="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5" customHeight="1">
      <c r="A263" s="11"/>
      <c r="C263" s="7"/>
      <c r="D263" s="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5" customHeight="1">
      <c r="A264" s="11"/>
      <c r="C264" s="7"/>
      <c r="D264" s="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5" customHeight="1">
      <c r="A265" s="11"/>
      <c r="C265" s="7"/>
      <c r="D265" s="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5" customHeight="1">
      <c r="A266" s="11"/>
      <c r="C266" s="7"/>
      <c r="D266" s="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5" customHeight="1">
      <c r="A267" s="11"/>
      <c r="C267" s="7"/>
      <c r="D267" s="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5" customHeight="1">
      <c r="A268" s="11"/>
      <c r="C268" s="7"/>
      <c r="D268" s="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5" customHeight="1">
      <c r="A269" s="11"/>
      <c r="C269" s="7"/>
      <c r="D269" s="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5" customHeight="1">
      <c r="A270" s="11"/>
      <c r="C270" s="7"/>
      <c r="D270" s="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5" customHeight="1">
      <c r="A271" s="11"/>
      <c r="C271" s="7"/>
      <c r="D271" s="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5" customHeight="1">
      <c r="A272" s="11"/>
      <c r="C272" s="7"/>
      <c r="D272" s="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5" customHeight="1">
      <c r="A273" s="11"/>
      <c r="C273" s="7"/>
      <c r="D273" s="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5" customHeight="1">
      <c r="A274" s="11"/>
      <c r="C274" s="7"/>
      <c r="D274" s="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5" customHeight="1">
      <c r="A275" s="11"/>
      <c r="C275" s="7"/>
      <c r="D275" s="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5" customHeight="1">
      <c r="A276" s="11"/>
      <c r="C276" s="7"/>
      <c r="D276" s="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5" customHeight="1">
      <c r="A277" s="11"/>
      <c r="C277" s="7"/>
      <c r="D277" s="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5" customHeight="1">
      <c r="A278" s="11"/>
      <c r="C278" s="7"/>
      <c r="D278" s="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5" customHeight="1">
      <c r="A279" s="11"/>
      <c r="C279" s="7"/>
      <c r="D279" s="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5" customHeight="1">
      <c r="A280" s="11"/>
      <c r="C280" s="7"/>
      <c r="D280" s="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5" customHeight="1">
      <c r="A281" s="11"/>
      <c r="C281" s="7"/>
      <c r="D281" s="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5" customHeight="1">
      <c r="A282" s="11"/>
      <c r="C282" s="7"/>
      <c r="D282" s="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5" customHeight="1">
      <c r="A283" s="11"/>
      <c r="C283" s="7"/>
      <c r="D283" s="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5" customHeight="1">
      <c r="A284" s="11"/>
      <c r="C284" s="7"/>
      <c r="D284" s="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5" customHeight="1">
      <c r="A285" s="11"/>
      <c r="C285" s="7"/>
      <c r="D285" s="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5" customHeight="1">
      <c r="A286" s="11"/>
      <c r="C286" s="7"/>
      <c r="D286" s="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5" customHeight="1">
      <c r="A287" s="11"/>
      <c r="C287" s="7"/>
      <c r="D287" s="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5" customHeight="1">
      <c r="A288" s="11"/>
      <c r="C288" s="7"/>
      <c r="D288" s="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5" customHeight="1">
      <c r="A289" s="11"/>
      <c r="C289" s="7"/>
      <c r="D289" s="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5" customHeight="1">
      <c r="A290" s="11"/>
      <c r="C290" s="7"/>
      <c r="D290" s="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5" customHeight="1">
      <c r="A291" s="11"/>
      <c r="C291" s="7"/>
      <c r="D291" s="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5" customHeight="1">
      <c r="A292" s="11"/>
      <c r="C292" s="7"/>
      <c r="D292" s="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5" customHeight="1">
      <c r="A293" s="11"/>
      <c r="C293" s="7"/>
      <c r="D293" s="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5" customHeight="1">
      <c r="A294" s="11"/>
      <c r="C294" s="7"/>
      <c r="D294" s="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5" customHeight="1">
      <c r="A295" s="11"/>
      <c r="C295" s="7"/>
      <c r="D295" s="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5" customHeight="1">
      <c r="A296" s="11"/>
      <c r="C296" s="7"/>
      <c r="D296" s="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5" customHeight="1">
      <c r="A297" s="11"/>
      <c r="C297" s="7"/>
      <c r="D297" s="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5" customHeight="1">
      <c r="A298" s="11"/>
      <c r="C298" s="7"/>
      <c r="D298" s="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5" customHeight="1">
      <c r="A299" s="11"/>
      <c r="C299" s="7"/>
      <c r="D299" s="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5" customHeight="1">
      <c r="A300" s="11"/>
      <c r="C300" s="7"/>
      <c r="D300" s="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5" customHeight="1">
      <c r="A301" s="11"/>
      <c r="C301" s="7"/>
      <c r="D301" s="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5" customHeight="1">
      <c r="A302" s="11"/>
      <c r="C302" s="7"/>
      <c r="D302" s="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5" customHeight="1">
      <c r="A303" s="11"/>
      <c r="C303" s="7"/>
      <c r="D303" s="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5" customHeight="1">
      <c r="A304" s="11"/>
      <c r="C304" s="7"/>
      <c r="D304" s="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5" customHeight="1">
      <c r="A305" s="11"/>
      <c r="C305" s="7"/>
      <c r="D305" s="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5" customHeight="1">
      <c r="A306" s="11"/>
      <c r="C306" s="7"/>
      <c r="D306" s="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5" customHeight="1">
      <c r="A307" s="11"/>
      <c r="C307" s="7"/>
      <c r="D307" s="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5" customHeight="1">
      <c r="A308" s="11"/>
      <c r="C308" s="7"/>
      <c r="D308" s="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5" customHeight="1">
      <c r="A309" s="11"/>
      <c r="C309" s="7"/>
      <c r="D309" s="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5" customHeight="1">
      <c r="A310" s="11"/>
      <c r="C310" s="7"/>
      <c r="D310" s="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5" customHeight="1">
      <c r="A311" s="11"/>
      <c r="C311" s="7"/>
      <c r="D311" s="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5" customHeight="1">
      <c r="A312" s="11"/>
      <c r="C312" s="7"/>
      <c r="D312" s="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5" customHeight="1">
      <c r="A313" s="11"/>
      <c r="C313" s="7"/>
      <c r="D313" s="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5" customHeight="1">
      <c r="A314" s="11"/>
      <c r="C314" s="7"/>
      <c r="D314" s="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5" customHeight="1">
      <c r="A315" s="11"/>
      <c r="C315" s="7"/>
      <c r="D315" s="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5" customHeight="1">
      <c r="A316" s="11"/>
      <c r="C316" s="7"/>
      <c r="D316" s="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5" customHeight="1">
      <c r="A317" s="11"/>
      <c r="C317" s="7"/>
      <c r="D317" s="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5" customHeight="1">
      <c r="A318" s="11"/>
      <c r="C318" s="7"/>
      <c r="D318" s="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5" customHeight="1">
      <c r="A319" s="11"/>
      <c r="C319" s="7"/>
      <c r="D319" s="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5" customHeight="1">
      <c r="A320" s="11"/>
      <c r="C320" s="7"/>
      <c r="D320" s="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5" customHeight="1">
      <c r="A321" s="11"/>
      <c r="C321" s="7"/>
      <c r="D321" s="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5" customHeight="1">
      <c r="A322" s="11"/>
      <c r="C322" s="7"/>
      <c r="D322" s="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5" customHeight="1">
      <c r="A323" s="11"/>
      <c r="C323" s="7"/>
      <c r="D323" s="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5" customHeight="1">
      <c r="A324" s="11"/>
      <c r="C324" s="7"/>
      <c r="D324" s="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5" customHeight="1">
      <c r="A325" s="11"/>
      <c r="C325" s="7"/>
      <c r="D325" s="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5" customHeight="1">
      <c r="A326" s="11"/>
      <c r="C326" s="7"/>
      <c r="D326" s="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5" customHeight="1">
      <c r="A327" s="11"/>
      <c r="C327" s="7"/>
      <c r="D327" s="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5" customHeight="1">
      <c r="A328" s="11"/>
      <c r="C328" s="7"/>
      <c r="D328" s="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5" customHeight="1">
      <c r="A329" s="11"/>
      <c r="C329" s="7"/>
      <c r="D329" s="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5" customHeight="1">
      <c r="A330" s="11"/>
      <c r="C330" s="7"/>
      <c r="D330" s="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5" customHeight="1">
      <c r="A331" s="11"/>
      <c r="C331" s="7"/>
      <c r="D331" s="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5" customHeight="1">
      <c r="A332" s="11"/>
      <c r="C332" s="7"/>
      <c r="D332" s="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5" customHeight="1">
      <c r="A333" s="11"/>
      <c r="C333" s="7"/>
      <c r="D333" s="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5" customHeight="1">
      <c r="A334" s="11"/>
      <c r="C334" s="7"/>
      <c r="D334" s="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5" customHeight="1">
      <c r="A335" s="11"/>
      <c r="C335" s="7"/>
      <c r="D335" s="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5" customHeight="1">
      <c r="A336" s="11"/>
      <c r="C336" s="7"/>
      <c r="D336" s="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5" customHeight="1">
      <c r="A337" s="11"/>
      <c r="C337" s="7"/>
      <c r="D337" s="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5" customHeight="1">
      <c r="A338" s="11"/>
      <c r="C338" s="7"/>
      <c r="D338" s="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5" customHeight="1">
      <c r="A339" s="11"/>
      <c r="C339" s="7"/>
      <c r="D339" s="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5" customHeight="1">
      <c r="A340" s="11"/>
      <c r="C340" s="7"/>
      <c r="D340" s="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5" customHeight="1">
      <c r="A341" s="11"/>
      <c r="C341" s="7"/>
      <c r="D341" s="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5" customHeight="1">
      <c r="A342" s="11"/>
      <c r="C342" s="7"/>
      <c r="D342" s="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5" customHeight="1">
      <c r="A343" s="11"/>
      <c r="C343" s="7"/>
      <c r="D343" s="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5" customHeight="1">
      <c r="A344" s="11"/>
      <c r="C344" s="7"/>
      <c r="D344" s="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5" customHeight="1">
      <c r="A345" s="11"/>
      <c r="C345" s="7"/>
      <c r="D345" s="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5" customHeight="1">
      <c r="A346" s="11"/>
      <c r="C346" s="7"/>
      <c r="D346" s="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5" customHeight="1">
      <c r="A347" s="11"/>
      <c r="C347" s="7"/>
      <c r="D347" s="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5" customHeight="1">
      <c r="A348" s="11"/>
      <c r="C348" s="7"/>
      <c r="D348" s="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5" customHeight="1">
      <c r="A349" s="11"/>
      <c r="C349" s="7"/>
      <c r="D349" s="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5" customHeight="1">
      <c r="A350" s="11"/>
      <c r="C350" s="7"/>
      <c r="D350" s="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5" customHeight="1">
      <c r="A351" s="11"/>
      <c r="C351" s="7"/>
      <c r="D351" s="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5" customHeight="1">
      <c r="A352" s="11"/>
      <c r="C352" s="7"/>
      <c r="D352" s="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5" customHeight="1">
      <c r="A353" s="11"/>
      <c r="C353" s="7"/>
      <c r="D353" s="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5" customHeight="1">
      <c r="A354" s="11"/>
      <c r="C354" s="7"/>
      <c r="D354" s="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5" customHeight="1">
      <c r="A355" s="11"/>
      <c r="C355" s="7"/>
      <c r="D355" s="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5" customHeight="1">
      <c r="A356" s="11"/>
      <c r="C356" s="7"/>
      <c r="D356" s="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5" customHeight="1">
      <c r="A357" s="11"/>
      <c r="C357" s="7"/>
      <c r="D357" s="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5" customHeight="1">
      <c r="A358" s="11"/>
      <c r="C358" s="7"/>
      <c r="D358" s="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5" customHeight="1">
      <c r="A359" s="11"/>
      <c r="C359" s="7"/>
      <c r="D359" s="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5" customHeight="1">
      <c r="A360" s="11"/>
      <c r="C360" s="7"/>
      <c r="D360" s="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5" customHeight="1">
      <c r="A361" s="11"/>
      <c r="C361" s="7"/>
      <c r="D361" s="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5" customHeight="1">
      <c r="A362" s="11"/>
      <c r="C362" s="7"/>
      <c r="D362" s="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5" customHeight="1">
      <c r="A363" s="11"/>
      <c r="C363" s="7"/>
      <c r="D363" s="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5" customHeight="1">
      <c r="A364" s="11"/>
      <c r="C364" s="7"/>
      <c r="D364" s="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5" customHeight="1">
      <c r="A365" s="11"/>
      <c r="C365" s="7"/>
      <c r="D365" s="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5" customHeight="1">
      <c r="A366" s="11"/>
      <c r="C366" s="7"/>
      <c r="D366" s="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5" customHeight="1">
      <c r="A367" s="11"/>
      <c r="C367" s="7"/>
      <c r="D367" s="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5" customHeight="1">
      <c r="A368" s="11"/>
      <c r="C368" s="7"/>
      <c r="D368" s="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5" customHeight="1">
      <c r="A369" s="11"/>
      <c r="C369" s="7"/>
      <c r="D369" s="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5" customHeight="1">
      <c r="A370" s="11"/>
      <c r="C370" s="7"/>
      <c r="D370" s="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5" customHeight="1">
      <c r="A371" s="11"/>
      <c r="C371" s="7"/>
      <c r="D371" s="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5" customHeight="1">
      <c r="A372" s="11"/>
      <c r="C372" s="7"/>
      <c r="D372" s="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5" customHeight="1">
      <c r="A373" s="11"/>
      <c r="C373" s="7"/>
      <c r="D373" s="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5" customHeight="1">
      <c r="A374" s="11"/>
      <c r="C374" s="7"/>
      <c r="D374" s="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5" customHeight="1">
      <c r="A375" s="11"/>
      <c r="C375" s="7"/>
      <c r="D375" s="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5" customHeight="1">
      <c r="A376" s="11"/>
      <c r="C376" s="7"/>
      <c r="D376" s="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5" customHeight="1">
      <c r="A377" s="11"/>
      <c r="C377" s="7"/>
      <c r="D377" s="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5" customHeight="1">
      <c r="A378" s="11"/>
      <c r="C378" s="7"/>
      <c r="D378" s="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5" customHeight="1">
      <c r="A379" s="11"/>
      <c r="C379" s="7"/>
      <c r="D379" s="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5" customHeight="1">
      <c r="A380" s="11"/>
      <c r="C380" s="7"/>
      <c r="D380" s="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5" customHeight="1">
      <c r="A381" s="11"/>
      <c r="C381" s="7"/>
      <c r="D381" s="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5" customHeight="1">
      <c r="A382" s="11"/>
      <c r="C382" s="7"/>
      <c r="D382" s="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5" customHeight="1">
      <c r="A383" s="11"/>
      <c r="C383" s="7"/>
      <c r="D383" s="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5" customHeight="1">
      <c r="A384" s="11"/>
      <c r="C384" s="7"/>
      <c r="D384" s="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5" customHeight="1">
      <c r="A385" s="11"/>
      <c r="C385" s="7"/>
      <c r="D385" s="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5" customHeight="1">
      <c r="A386" s="11"/>
      <c r="C386" s="7"/>
      <c r="D386" s="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5" customHeight="1">
      <c r="A387" s="11"/>
      <c r="C387" s="7"/>
      <c r="D387" s="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5" customHeight="1">
      <c r="A388" s="11"/>
      <c r="C388" s="7"/>
      <c r="D388" s="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5" customHeight="1">
      <c r="A389" s="11"/>
      <c r="C389" s="7"/>
      <c r="D389" s="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5" customHeight="1">
      <c r="A390" s="11"/>
      <c r="C390" s="7"/>
      <c r="D390" s="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5" customHeight="1">
      <c r="A391" s="11"/>
      <c r="C391" s="7"/>
      <c r="D391" s="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5" customHeight="1">
      <c r="A392" s="11"/>
      <c r="C392" s="7"/>
      <c r="D392" s="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5" customHeight="1">
      <c r="A393" s="11"/>
      <c r="C393" s="7"/>
      <c r="D393" s="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5" customHeight="1">
      <c r="A394" s="11"/>
      <c r="C394" s="7"/>
      <c r="D394" s="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5" customHeight="1">
      <c r="A395" s="11"/>
      <c r="C395" s="7"/>
      <c r="D395" s="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5" customHeight="1">
      <c r="A396" s="11"/>
      <c r="C396" s="7"/>
      <c r="D396" s="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5" customHeight="1">
      <c r="A397" s="11"/>
      <c r="C397" s="7"/>
      <c r="D397" s="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5" customHeight="1">
      <c r="A398" s="11"/>
      <c r="C398" s="7"/>
      <c r="D398" s="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5" customHeight="1">
      <c r="A399" s="11"/>
      <c r="C399" s="7"/>
      <c r="D399" s="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5" customHeight="1">
      <c r="A400" s="11"/>
      <c r="C400" s="7"/>
      <c r="D400" s="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5" customHeight="1">
      <c r="A401" s="11"/>
      <c r="C401" s="7"/>
      <c r="D401" s="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5" customHeight="1">
      <c r="A402" s="11"/>
      <c r="C402" s="7"/>
      <c r="D402" s="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5" customHeight="1">
      <c r="A403" s="11"/>
      <c r="C403" s="7"/>
      <c r="D403" s="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5" customHeight="1">
      <c r="A404" s="11"/>
      <c r="C404" s="7"/>
      <c r="D404" s="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5" customHeight="1">
      <c r="A405" s="11"/>
      <c r="C405" s="7"/>
      <c r="D405" s="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5" customHeight="1">
      <c r="A406" s="11"/>
      <c r="C406" s="7"/>
      <c r="D406" s="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5" customHeight="1">
      <c r="A407" s="11"/>
      <c r="C407" s="7"/>
      <c r="D407" s="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5" customHeight="1">
      <c r="A408" s="11"/>
      <c r="C408" s="7"/>
      <c r="D408" s="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5" customHeight="1">
      <c r="A409" s="11"/>
      <c r="C409" s="7"/>
      <c r="D409" s="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5" customHeight="1">
      <c r="A410" s="11"/>
      <c r="C410" s="7"/>
      <c r="D410" s="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5" customHeight="1">
      <c r="A411" s="11"/>
      <c r="C411" s="7"/>
      <c r="D411" s="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5" customHeight="1">
      <c r="A412" s="11"/>
      <c r="C412" s="7"/>
      <c r="D412" s="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5" customHeight="1">
      <c r="A413" s="11"/>
      <c r="C413" s="7"/>
      <c r="D413" s="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5" customHeight="1">
      <c r="A414" s="11"/>
      <c r="C414" s="7"/>
      <c r="D414" s="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5" customHeight="1">
      <c r="A415" s="11"/>
      <c r="C415" s="7"/>
      <c r="D415" s="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5" customHeight="1">
      <c r="A416" s="11"/>
      <c r="C416" s="7"/>
      <c r="D416" s="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5" customHeight="1">
      <c r="A417" s="11"/>
      <c r="C417" s="7"/>
      <c r="D417" s="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5" customHeight="1">
      <c r="A418" s="11"/>
      <c r="C418" s="7"/>
      <c r="D418" s="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5" customHeight="1">
      <c r="A419" s="11"/>
      <c r="C419" s="7"/>
      <c r="D419" s="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5" customHeight="1">
      <c r="A420" s="11"/>
      <c r="C420" s="7"/>
      <c r="D420" s="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5" customHeight="1">
      <c r="A421" s="11"/>
      <c r="C421" s="7"/>
      <c r="D421" s="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5" customHeight="1">
      <c r="A422" s="11"/>
      <c r="C422" s="7"/>
      <c r="D422" s="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5" customHeight="1">
      <c r="A423" s="11"/>
      <c r="C423" s="7"/>
      <c r="D423" s="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5" customHeight="1">
      <c r="A424" s="11"/>
      <c r="C424" s="7"/>
      <c r="D424" s="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5" customHeight="1">
      <c r="A425" s="11"/>
      <c r="C425" s="7"/>
      <c r="D425" s="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5" customHeight="1">
      <c r="A426" s="11"/>
      <c r="C426" s="7"/>
      <c r="D426" s="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5" customHeight="1">
      <c r="A427" s="11"/>
      <c r="C427" s="7"/>
      <c r="D427" s="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5" customHeight="1">
      <c r="A428" s="11"/>
      <c r="C428" s="7"/>
      <c r="D428" s="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5" customHeight="1">
      <c r="A429" s="11"/>
      <c r="C429" s="7"/>
      <c r="D429" s="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5" customHeight="1">
      <c r="A430" s="11"/>
      <c r="C430" s="7"/>
      <c r="D430" s="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5" customHeight="1">
      <c r="A431" s="11"/>
      <c r="C431" s="7"/>
      <c r="D431" s="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5" customHeight="1">
      <c r="A432" s="11"/>
      <c r="C432" s="7"/>
      <c r="D432" s="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5" customHeight="1">
      <c r="A433" s="11"/>
      <c r="C433" s="7"/>
      <c r="D433" s="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5" customHeight="1">
      <c r="A434" s="11"/>
      <c r="C434" s="7"/>
      <c r="D434" s="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5" customHeight="1">
      <c r="A435" s="11"/>
      <c r="C435" s="7"/>
      <c r="D435" s="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5" customHeight="1">
      <c r="A436" s="11"/>
      <c r="C436" s="7"/>
      <c r="D436" s="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5" customHeight="1">
      <c r="A437" s="11"/>
      <c r="C437" s="7"/>
      <c r="D437" s="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5" customHeight="1">
      <c r="A438" s="11"/>
      <c r="C438" s="7"/>
      <c r="D438" s="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5" customHeight="1">
      <c r="A439" s="11"/>
      <c r="C439" s="7"/>
      <c r="D439" s="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5" customHeight="1">
      <c r="A440" s="11"/>
      <c r="C440" s="7"/>
      <c r="D440" s="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5" customHeight="1">
      <c r="A441" s="11"/>
      <c r="C441" s="7"/>
      <c r="D441" s="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5" customHeight="1">
      <c r="A442" s="11"/>
      <c r="C442" s="7"/>
      <c r="D442" s="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5" customHeight="1">
      <c r="A443" s="11"/>
      <c r="C443" s="7"/>
      <c r="D443" s="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5" customHeight="1">
      <c r="A444" s="11"/>
      <c r="C444" s="7"/>
      <c r="D444" s="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5" customHeight="1">
      <c r="A445" s="11"/>
      <c r="C445" s="7"/>
      <c r="D445" s="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5" customHeight="1">
      <c r="A446" s="11"/>
      <c r="C446" s="7"/>
      <c r="D446" s="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5" customHeight="1">
      <c r="A447" s="11"/>
      <c r="C447" s="7"/>
      <c r="D447" s="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5" customHeight="1">
      <c r="A448" s="11"/>
      <c r="C448" s="7"/>
      <c r="D448" s="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5" customHeight="1">
      <c r="A449" s="11"/>
      <c r="C449" s="7"/>
      <c r="D449" s="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5" customHeight="1">
      <c r="A450" s="11"/>
      <c r="C450" s="7"/>
      <c r="D450" s="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5" customHeight="1">
      <c r="A451" s="11"/>
      <c r="C451" s="7"/>
      <c r="D451" s="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5" customHeight="1">
      <c r="A452" s="11"/>
      <c r="C452" s="7"/>
      <c r="D452" s="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5" customHeight="1">
      <c r="A453" s="11"/>
      <c r="C453" s="7"/>
      <c r="D453" s="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5" customHeight="1">
      <c r="A454" s="11"/>
      <c r="C454" s="7"/>
      <c r="D454" s="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5" customHeight="1">
      <c r="A455" s="11"/>
      <c r="C455" s="7"/>
      <c r="D455" s="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5" customHeight="1">
      <c r="A456" s="11"/>
      <c r="C456" s="7"/>
      <c r="D456" s="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5" customHeight="1">
      <c r="A457" s="11"/>
      <c r="C457" s="7"/>
      <c r="D457" s="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5" customHeight="1">
      <c r="A458" s="11"/>
      <c r="C458" s="7"/>
      <c r="D458" s="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5" customHeight="1">
      <c r="A459" s="11"/>
      <c r="C459" s="7"/>
      <c r="D459" s="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5" customHeight="1">
      <c r="A460" s="11"/>
      <c r="C460" s="7"/>
      <c r="D460" s="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5" customHeight="1">
      <c r="A461" s="11"/>
      <c r="C461" s="7"/>
      <c r="D461" s="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5" customHeight="1">
      <c r="A462" s="11"/>
      <c r="C462" s="7"/>
      <c r="D462" s="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5" customHeight="1">
      <c r="A463" s="11"/>
      <c r="C463" s="7"/>
      <c r="D463" s="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5" customHeight="1">
      <c r="A464" s="11"/>
      <c r="C464" s="7"/>
      <c r="D464" s="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5" customHeight="1">
      <c r="A465" s="11"/>
      <c r="C465" s="7"/>
      <c r="D465" s="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5" customHeight="1">
      <c r="A466" s="11"/>
      <c r="C466" s="7"/>
      <c r="D466" s="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5" customHeight="1">
      <c r="A467" s="11"/>
      <c r="C467" s="7"/>
      <c r="D467" s="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5" customHeight="1">
      <c r="A468" s="11"/>
      <c r="C468" s="7"/>
      <c r="D468" s="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5" customHeight="1">
      <c r="A469" s="11"/>
      <c r="C469" s="7"/>
      <c r="D469" s="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5" customHeight="1">
      <c r="A470" s="11"/>
      <c r="C470" s="7"/>
      <c r="D470" s="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5" customHeight="1">
      <c r="A471" s="11"/>
      <c r="C471" s="7"/>
      <c r="D471" s="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5" customHeight="1">
      <c r="A472" s="11"/>
      <c r="C472" s="7"/>
      <c r="D472" s="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5" customHeight="1">
      <c r="A473" s="11"/>
      <c r="C473" s="7"/>
      <c r="D473" s="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5" customHeight="1">
      <c r="A474" s="11"/>
      <c r="C474" s="7"/>
      <c r="D474" s="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5" customHeight="1">
      <c r="A475" s="11"/>
      <c r="C475" s="7"/>
      <c r="D475" s="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5" customHeight="1">
      <c r="A476" s="11"/>
      <c r="C476" s="7"/>
      <c r="D476" s="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5" customHeight="1">
      <c r="A477" s="11"/>
      <c r="C477" s="7"/>
      <c r="D477" s="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5" customHeight="1">
      <c r="A478" s="11"/>
      <c r="C478" s="7"/>
      <c r="D478" s="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5" customHeight="1">
      <c r="A479" s="11"/>
      <c r="C479" s="7"/>
      <c r="D479" s="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5" customHeight="1">
      <c r="A480" s="11"/>
      <c r="C480" s="7"/>
      <c r="D480" s="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5" customHeight="1">
      <c r="A481" s="11"/>
      <c r="C481" s="7"/>
      <c r="D481" s="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5" customHeight="1">
      <c r="A482" s="11"/>
      <c r="C482" s="7"/>
      <c r="D482" s="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5" customHeight="1">
      <c r="A483" s="11"/>
      <c r="C483" s="7"/>
      <c r="D483" s="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5" customHeight="1">
      <c r="A484" s="11"/>
      <c r="C484" s="7"/>
      <c r="D484" s="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5" customHeight="1">
      <c r="A485" s="11"/>
      <c r="C485" s="7"/>
      <c r="D485" s="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5" customHeight="1">
      <c r="A486" s="11"/>
      <c r="C486" s="7"/>
      <c r="D486" s="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5" customHeight="1">
      <c r="A487" s="11"/>
      <c r="C487" s="7"/>
      <c r="D487" s="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5" customHeight="1">
      <c r="A488" s="11"/>
      <c r="C488" s="7"/>
      <c r="D488" s="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5" customHeight="1">
      <c r="A489" s="11"/>
      <c r="C489" s="7"/>
      <c r="D489" s="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5" customHeight="1">
      <c r="A490" s="11"/>
      <c r="C490" s="7"/>
      <c r="D490" s="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5" customHeight="1">
      <c r="A491" s="11"/>
      <c r="C491" s="7"/>
      <c r="D491" s="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5" customHeight="1">
      <c r="A492" s="11"/>
      <c r="C492" s="7"/>
      <c r="D492" s="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5" customHeight="1">
      <c r="A493" s="11"/>
      <c r="C493" s="7"/>
      <c r="D493" s="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5" customHeight="1">
      <c r="A494" s="11"/>
      <c r="C494" s="7"/>
      <c r="D494" s="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5" customHeight="1">
      <c r="A495" s="11"/>
      <c r="C495" s="7"/>
      <c r="D495" s="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5" customHeight="1">
      <c r="A496" s="11"/>
      <c r="C496" s="7"/>
      <c r="D496" s="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5" customHeight="1">
      <c r="A497" s="11"/>
      <c r="C497" s="7"/>
      <c r="D497" s="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5" customHeight="1">
      <c r="A498" s="11"/>
      <c r="C498" s="7"/>
      <c r="D498" s="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5" customHeight="1">
      <c r="A499" s="11"/>
      <c r="C499" s="7"/>
      <c r="D499" s="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5" customHeight="1">
      <c r="A500" s="11"/>
      <c r="C500" s="7"/>
      <c r="D500" s="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5" customHeight="1">
      <c r="A501" s="11"/>
      <c r="C501" s="7"/>
      <c r="D501" s="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5" customHeight="1">
      <c r="A502" s="11"/>
      <c r="C502" s="7"/>
      <c r="D502" s="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5" customHeight="1">
      <c r="A503" s="11"/>
      <c r="C503" s="7"/>
      <c r="D503" s="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5" customHeight="1">
      <c r="A504" s="11"/>
      <c r="C504" s="7"/>
      <c r="D504" s="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5" customHeight="1">
      <c r="A505" s="11"/>
      <c r="C505" s="7"/>
      <c r="D505" s="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5" customHeight="1">
      <c r="A506" s="11"/>
      <c r="C506" s="7"/>
      <c r="D506" s="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5" customHeight="1">
      <c r="A507" s="11"/>
      <c r="C507" s="7"/>
      <c r="D507" s="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5" customHeight="1">
      <c r="A508" s="11"/>
      <c r="C508" s="7"/>
      <c r="D508" s="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5" customHeight="1">
      <c r="A509" s="11"/>
      <c r="C509" s="7"/>
      <c r="D509" s="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5" customHeight="1">
      <c r="A510" s="11"/>
      <c r="C510" s="7"/>
      <c r="D510" s="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5" customHeight="1">
      <c r="A511" s="11"/>
      <c r="C511" s="7"/>
      <c r="D511" s="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5" customHeight="1">
      <c r="A512" s="11"/>
      <c r="C512" s="7"/>
      <c r="D512" s="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5" customHeight="1">
      <c r="A513" s="11"/>
      <c r="C513" s="7"/>
      <c r="D513" s="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5" customHeight="1">
      <c r="A514" s="11"/>
      <c r="C514" s="7"/>
      <c r="D514" s="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5" customHeight="1">
      <c r="A515" s="11"/>
      <c r="C515" s="7"/>
      <c r="D515" s="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5" customHeight="1">
      <c r="A516" s="11"/>
      <c r="C516" s="7"/>
      <c r="D516" s="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5" customHeight="1">
      <c r="A517" s="11"/>
      <c r="C517" s="7"/>
      <c r="D517" s="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5" customHeight="1">
      <c r="A518" s="11"/>
      <c r="C518" s="7"/>
      <c r="D518" s="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5" customHeight="1">
      <c r="A519" s="11"/>
      <c r="C519" s="7"/>
      <c r="D519" s="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5" customHeight="1">
      <c r="A520" s="11"/>
      <c r="C520" s="7"/>
      <c r="D520" s="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5" customHeight="1">
      <c r="A521" s="11"/>
      <c r="C521" s="7"/>
      <c r="D521" s="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5" customHeight="1">
      <c r="A522" s="11"/>
      <c r="C522" s="7"/>
      <c r="D522" s="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5" customHeight="1">
      <c r="A523" s="11"/>
      <c r="C523" s="7"/>
      <c r="D523" s="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5" customHeight="1">
      <c r="A524" s="11"/>
      <c r="C524" s="7"/>
      <c r="D524" s="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5" customHeight="1">
      <c r="A525" s="11"/>
      <c r="C525" s="7"/>
      <c r="D525" s="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5" customHeight="1">
      <c r="A526" s="11"/>
      <c r="C526" s="7"/>
      <c r="D526" s="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5" customHeight="1">
      <c r="A527" s="11"/>
      <c r="C527" s="7"/>
      <c r="D527" s="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5" customHeight="1">
      <c r="A528" s="11"/>
      <c r="C528" s="7"/>
      <c r="D528" s="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5" customHeight="1">
      <c r="A529" s="11"/>
      <c r="C529" s="7"/>
      <c r="D529" s="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5" customHeight="1">
      <c r="A530" s="11"/>
      <c r="C530" s="7"/>
      <c r="D530" s="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5" customHeight="1">
      <c r="A531" s="11"/>
      <c r="C531" s="7"/>
      <c r="D531" s="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5" customHeight="1">
      <c r="A532" s="11"/>
      <c r="C532" s="7"/>
      <c r="D532" s="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5" customHeight="1">
      <c r="A533" s="11"/>
      <c r="C533" s="7"/>
      <c r="D533" s="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5" customHeight="1">
      <c r="A534" s="11"/>
      <c r="C534" s="7"/>
      <c r="D534" s="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5" customHeight="1">
      <c r="A535" s="11"/>
      <c r="C535" s="7"/>
      <c r="D535" s="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5" customHeight="1">
      <c r="A536" s="11"/>
      <c r="C536" s="7"/>
      <c r="D536" s="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5" customHeight="1">
      <c r="A537" s="11"/>
      <c r="C537" s="7"/>
      <c r="D537" s="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5" customHeight="1">
      <c r="A538" s="11"/>
      <c r="C538" s="7"/>
      <c r="D538" s="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5" customHeight="1">
      <c r="A539" s="11"/>
      <c r="C539" s="7"/>
      <c r="D539" s="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5" customHeight="1">
      <c r="A540" s="11"/>
      <c r="C540" s="7"/>
      <c r="D540" s="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5" customHeight="1">
      <c r="A541" s="11"/>
      <c r="C541" s="7"/>
      <c r="D541" s="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5" customHeight="1">
      <c r="A542" s="11"/>
      <c r="C542" s="7"/>
      <c r="D542" s="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5" customHeight="1">
      <c r="A543" s="11"/>
      <c r="C543" s="7"/>
      <c r="D543" s="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5" customHeight="1">
      <c r="A544" s="11"/>
      <c r="C544" s="7"/>
      <c r="D544" s="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5" customHeight="1">
      <c r="A545" s="11"/>
      <c r="C545" s="7"/>
      <c r="D545" s="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5" customHeight="1">
      <c r="A546" s="11"/>
      <c r="C546" s="7"/>
      <c r="D546" s="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5" customHeight="1">
      <c r="A547" s="11"/>
      <c r="C547" s="7"/>
      <c r="D547" s="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5" customHeight="1">
      <c r="A548" s="11"/>
      <c r="C548" s="7"/>
      <c r="D548" s="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5" customHeight="1">
      <c r="A549" s="11"/>
      <c r="C549" s="7"/>
      <c r="D549" s="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5" customHeight="1">
      <c r="A550" s="11"/>
      <c r="C550" s="7"/>
      <c r="D550" s="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5" customHeight="1">
      <c r="A551" s="11"/>
      <c r="C551" s="7"/>
      <c r="D551" s="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5" customHeight="1">
      <c r="A552" s="11"/>
      <c r="C552" s="7"/>
      <c r="D552" s="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5" customHeight="1">
      <c r="A553" s="11"/>
      <c r="C553" s="7"/>
      <c r="D553" s="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5" customHeight="1">
      <c r="A554" s="11"/>
      <c r="C554" s="7"/>
      <c r="D554" s="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5" customHeight="1">
      <c r="A555" s="11"/>
      <c r="C555" s="7"/>
      <c r="D555" s="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5" customHeight="1">
      <c r="A556" s="11"/>
      <c r="C556" s="7"/>
      <c r="D556" s="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5" customHeight="1">
      <c r="A557" s="11"/>
      <c r="C557" s="7"/>
      <c r="D557" s="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5" customHeight="1">
      <c r="A558" s="11"/>
      <c r="C558" s="7"/>
      <c r="D558" s="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5" customHeight="1">
      <c r="A559" s="11"/>
      <c r="C559" s="7"/>
      <c r="D559" s="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5" customHeight="1">
      <c r="A560" s="11"/>
      <c r="C560" s="7"/>
      <c r="D560" s="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5" customHeight="1">
      <c r="A561" s="11"/>
      <c r="C561" s="7"/>
      <c r="D561" s="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5" customHeight="1">
      <c r="A562" s="11"/>
      <c r="C562" s="7"/>
      <c r="D562" s="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5" customHeight="1">
      <c r="A563" s="11"/>
      <c r="C563" s="7"/>
      <c r="D563" s="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5" customHeight="1">
      <c r="A564" s="11"/>
      <c r="C564" s="7"/>
      <c r="D564" s="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5" customHeight="1">
      <c r="A565" s="11"/>
      <c r="C565" s="7"/>
      <c r="D565" s="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5" customHeight="1">
      <c r="A566" s="11"/>
      <c r="C566" s="7"/>
      <c r="D566" s="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5" customHeight="1">
      <c r="A567" s="11"/>
      <c r="C567" s="7"/>
      <c r="D567" s="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5" customHeight="1">
      <c r="A568" s="11"/>
      <c r="C568" s="7"/>
      <c r="D568" s="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5" customHeight="1">
      <c r="A569" s="11"/>
      <c r="C569" s="7"/>
      <c r="D569" s="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5" customHeight="1">
      <c r="A570" s="11"/>
      <c r="C570" s="7"/>
      <c r="D570" s="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5" customHeight="1">
      <c r="A571" s="11"/>
      <c r="C571" s="7"/>
      <c r="D571" s="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5" customHeight="1">
      <c r="A572" s="11"/>
      <c r="C572" s="7"/>
      <c r="D572" s="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5" customHeight="1">
      <c r="A573" s="11"/>
      <c r="C573" s="7"/>
      <c r="D573" s="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5" customHeight="1">
      <c r="A574" s="11"/>
      <c r="C574" s="7"/>
      <c r="D574" s="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5" customHeight="1">
      <c r="A575" s="11"/>
      <c r="C575" s="7"/>
      <c r="D575" s="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5" customHeight="1">
      <c r="A576" s="11"/>
      <c r="C576" s="7"/>
      <c r="D576" s="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5" customHeight="1">
      <c r="A577" s="11"/>
      <c r="C577" s="7"/>
      <c r="D577" s="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5" customHeight="1">
      <c r="A578" s="11"/>
      <c r="C578" s="7"/>
      <c r="D578" s="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5" customHeight="1">
      <c r="A579" s="11"/>
      <c r="C579" s="7"/>
      <c r="D579" s="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5" customHeight="1">
      <c r="A580" s="11"/>
      <c r="C580" s="7"/>
      <c r="D580" s="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5" customHeight="1">
      <c r="A581" s="11"/>
      <c r="C581" s="7"/>
      <c r="D581" s="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5" customHeight="1">
      <c r="A582" s="11"/>
      <c r="C582" s="7"/>
      <c r="D582" s="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5" customHeight="1">
      <c r="A583" s="11"/>
      <c r="C583" s="7"/>
      <c r="D583" s="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5" customHeight="1">
      <c r="A584" s="11"/>
      <c r="C584" s="7"/>
      <c r="D584" s="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5" customHeight="1">
      <c r="A585" s="11"/>
      <c r="C585" s="7"/>
      <c r="D585" s="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5" customHeight="1">
      <c r="A586" s="11"/>
      <c r="C586" s="7"/>
      <c r="D586" s="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5" customHeight="1">
      <c r="A587" s="11"/>
      <c r="C587" s="7"/>
      <c r="D587" s="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5" customHeight="1">
      <c r="A588" s="11"/>
      <c r="C588" s="7"/>
      <c r="D588" s="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5" customHeight="1">
      <c r="A589" s="11"/>
      <c r="C589" s="7"/>
      <c r="D589" s="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5" customHeight="1">
      <c r="A590" s="11"/>
      <c r="C590" s="7"/>
      <c r="D590" s="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5" customHeight="1">
      <c r="A591" s="11"/>
      <c r="C591" s="7"/>
      <c r="D591" s="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5" customHeight="1">
      <c r="A592" s="11"/>
      <c r="C592" s="7"/>
      <c r="D592" s="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5" customHeight="1">
      <c r="A593" s="11"/>
      <c r="C593" s="7"/>
      <c r="D593" s="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5" customHeight="1">
      <c r="A594" s="11"/>
      <c r="C594" s="7"/>
      <c r="D594" s="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5" customHeight="1">
      <c r="A595" s="11"/>
      <c r="C595" s="7"/>
      <c r="D595" s="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5" customHeight="1">
      <c r="A596" s="11"/>
      <c r="C596" s="7"/>
      <c r="D596" s="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5" customHeight="1">
      <c r="A597" s="11"/>
      <c r="C597" s="7"/>
      <c r="D597" s="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5" customHeight="1">
      <c r="A598" s="11"/>
      <c r="C598" s="7"/>
      <c r="D598" s="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5" customHeight="1">
      <c r="A599" s="11"/>
      <c r="C599" s="7"/>
      <c r="D599" s="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5" customHeight="1">
      <c r="A600" s="11"/>
      <c r="C600" s="7"/>
      <c r="D600" s="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5" customHeight="1">
      <c r="A601" s="11"/>
      <c r="C601" s="7"/>
      <c r="D601" s="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5" customHeight="1">
      <c r="A602" s="11"/>
      <c r="C602" s="7"/>
      <c r="D602" s="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5" customHeight="1">
      <c r="A603" s="11"/>
      <c r="C603" s="7"/>
      <c r="D603" s="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5" customHeight="1">
      <c r="A604" s="11"/>
      <c r="C604" s="7"/>
      <c r="D604" s="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5" customHeight="1">
      <c r="A605" s="11"/>
      <c r="C605" s="7"/>
      <c r="D605" s="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5" customHeight="1">
      <c r="A606" s="11"/>
      <c r="C606" s="7"/>
      <c r="D606" s="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5" customHeight="1">
      <c r="A607" s="11"/>
      <c r="C607" s="7"/>
      <c r="D607" s="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5" customHeight="1">
      <c r="A608" s="11"/>
      <c r="C608" s="7"/>
      <c r="D608" s="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5" customHeight="1">
      <c r="A609" s="11"/>
      <c r="C609" s="7"/>
      <c r="D609" s="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5" customHeight="1">
      <c r="A610" s="11"/>
      <c r="C610" s="7"/>
      <c r="D610" s="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5" customHeight="1">
      <c r="A611" s="11"/>
      <c r="C611" s="7"/>
      <c r="D611" s="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5" customHeight="1">
      <c r="A612" s="11"/>
      <c r="C612" s="7"/>
      <c r="D612" s="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5" customHeight="1">
      <c r="A613" s="11"/>
      <c r="C613" s="7"/>
      <c r="D613" s="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5" customHeight="1">
      <c r="A614" s="11"/>
      <c r="C614" s="7"/>
      <c r="D614" s="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5" customHeight="1">
      <c r="A615" s="11"/>
      <c r="C615" s="7"/>
      <c r="D615" s="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5" customHeight="1">
      <c r="A616" s="11"/>
      <c r="C616" s="7"/>
      <c r="D616" s="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5" customHeight="1">
      <c r="A617" s="11"/>
      <c r="C617" s="7"/>
      <c r="D617" s="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5" customHeight="1">
      <c r="A618" s="11"/>
      <c r="C618" s="7"/>
      <c r="D618" s="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5" customHeight="1">
      <c r="A619" s="11"/>
      <c r="C619" s="7"/>
      <c r="D619" s="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5" customHeight="1">
      <c r="A620" s="11"/>
      <c r="C620" s="7"/>
      <c r="D620" s="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5" customHeight="1">
      <c r="A621" s="11"/>
      <c r="C621" s="7"/>
      <c r="D621" s="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5" customHeight="1">
      <c r="A622" s="11"/>
      <c r="C622" s="7"/>
      <c r="D622" s="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5" customHeight="1">
      <c r="A623" s="11"/>
      <c r="C623" s="7"/>
      <c r="D623" s="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5" customHeight="1">
      <c r="A624" s="11"/>
      <c r="C624" s="7"/>
      <c r="D624" s="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5" customHeight="1">
      <c r="A625" s="11"/>
      <c r="C625" s="7"/>
      <c r="D625" s="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5" customHeight="1">
      <c r="A626" s="11"/>
      <c r="C626" s="7"/>
      <c r="D626" s="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5" customHeight="1">
      <c r="A627" s="11"/>
      <c r="C627" s="7"/>
      <c r="D627" s="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5" customHeight="1">
      <c r="A628" s="11"/>
      <c r="C628" s="7"/>
      <c r="D628" s="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5" customHeight="1">
      <c r="A629" s="11"/>
      <c r="C629" s="7"/>
      <c r="D629" s="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5" customHeight="1">
      <c r="A630" s="11"/>
      <c r="C630" s="7"/>
      <c r="D630" s="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5" customHeight="1">
      <c r="A631" s="11"/>
      <c r="C631" s="7"/>
      <c r="D631" s="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5" customHeight="1">
      <c r="A632" s="11"/>
      <c r="C632" s="7"/>
      <c r="D632" s="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5" customHeight="1">
      <c r="A633" s="11"/>
      <c r="C633" s="7"/>
      <c r="D633" s="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5" customHeight="1">
      <c r="A634" s="11"/>
      <c r="C634" s="7"/>
      <c r="D634" s="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5" customHeight="1">
      <c r="A635" s="11"/>
      <c r="C635" s="7"/>
      <c r="D635" s="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5" customHeight="1">
      <c r="A636" s="11"/>
      <c r="C636" s="7"/>
      <c r="D636" s="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5" customHeight="1">
      <c r="A637" s="11"/>
      <c r="C637" s="7"/>
      <c r="D637" s="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5" customHeight="1">
      <c r="A638" s="11"/>
      <c r="C638" s="7"/>
      <c r="D638" s="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5" customHeight="1">
      <c r="A639" s="11"/>
      <c r="C639" s="7"/>
      <c r="D639" s="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5" customHeight="1">
      <c r="A640" s="11"/>
      <c r="C640" s="7"/>
      <c r="D640" s="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5" customHeight="1">
      <c r="A641" s="11"/>
      <c r="C641" s="7"/>
      <c r="D641" s="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5" customHeight="1">
      <c r="A642" s="11"/>
      <c r="C642" s="7"/>
      <c r="D642" s="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5" customHeight="1">
      <c r="A643" s="11"/>
      <c r="C643" s="7"/>
      <c r="D643" s="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5" customHeight="1">
      <c r="A644" s="11"/>
      <c r="C644" s="7"/>
      <c r="D644" s="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5" customHeight="1">
      <c r="A645" s="11"/>
      <c r="C645" s="7"/>
      <c r="D645" s="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5" customHeight="1">
      <c r="A646" s="11"/>
      <c r="C646" s="7"/>
      <c r="D646" s="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5" customHeight="1">
      <c r="A647" s="11"/>
      <c r="C647" s="7"/>
      <c r="D647" s="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5" customHeight="1">
      <c r="A648" s="11"/>
      <c r="C648" s="7"/>
      <c r="D648" s="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5" customHeight="1">
      <c r="A649" s="11"/>
      <c r="C649" s="7"/>
      <c r="D649" s="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5" customHeight="1">
      <c r="A650" s="11"/>
      <c r="C650" s="7"/>
      <c r="D650" s="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5" customHeight="1">
      <c r="A651" s="11"/>
      <c r="C651" s="7"/>
      <c r="D651" s="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5" customHeight="1">
      <c r="A652" s="11"/>
      <c r="C652" s="7"/>
      <c r="D652" s="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5" customHeight="1">
      <c r="A653" s="11"/>
      <c r="C653" s="7"/>
      <c r="D653" s="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5" customHeight="1">
      <c r="A654" s="11"/>
      <c r="C654" s="7"/>
      <c r="D654" s="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5" customHeight="1">
      <c r="A655" s="11"/>
      <c r="C655" s="7"/>
      <c r="D655" s="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5" customHeight="1">
      <c r="A656" s="11"/>
      <c r="C656" s="7"/>
      <c r="D656" s="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5" customHeight="1">
      <c r="A657" s="11"/>
      <c r="C657" s="7"/>
      <c r="D657" s="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5" customHeight="1">
      <c r="A658" s="11"/>
      <c r="C658" s="7"/>
      <c r="D658" s="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5" customHeight="1">
      <c r="A659" s="11"/>
      <c r="C659" s="7"/>
      <c r="D659" s="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5" customHeight="1">
      <c r="A660" s="11"/>
      <c r="C660" s="7"/>
      <c r="D660" s="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5" customHeight="1">
      <c r="A661" s="11"/>
      <c r="C661" s="7"/>
      <c r="D661" s="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5" customHeight="1">
      <c r="A662" s="11"/>
      <c r="C662" s="7"/>
      <c r="D662" s="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5" customHeight="1">
      <c r="A663" s="11"/>
      <c r="C663" s="7"/>
      <c r="D663" s="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5" customHeight="1">
      <c r="A664" s="11"/>
      <c r="C664" s="7"/>
      <c r="D664" s="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5" customHeight="1">
      <c r="A665" s="11"/>
      <c r="C665" s="7"/>
      <c r="D665" s="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5" customHeight="1">
      <c r="A666" s="11"/>
      <c r="C666" s="7"/>
      <c r="D666" s="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5" customHeight="1">
      <c r="A667" s="11"/>
      <c r="C667" s="7"/>
      <c r="D667" s="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5" customHeight="1">
      <c r="A668" s="11"/>
      <c r="C668" s="7"/>
      <c r="D668" s="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5" customHeight="1">
      <c r="A669" s="11"/>
      <c r="C669" s="7"/>
      <c r="D669" s="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5" customHeight="1">
      <c r="A670" s="11"/>
      <c r="C670" s="7"/>
      <c r="D670" s="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5" customHeight="1">
      <c r="A671" s="11"/>
      <c r="C671" s="7"/>
      <c r="D671" s="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5" customHeight="1">
      <c r="A672" s="11"/>
      <c r="C672" s="7"/>
      <c r="D672" s="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5" customHeight="1">
      <c r="A673" s="11"/>
      <c r="C673" s="7"/>
      <c r="D673" s="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5" customHeight="1">
      <c r="A674" s="11"/>
      <c r="C674" s="7"/>
      <c r="D674" s="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5" customHeight="1">
      <c r="A675" s="11"/>
      <c r="C675" s="7"/>
      <c r="D675" s="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5" customHeight="1">
      <c r="A676" s="11"/>
      <c r="C676" s="7"/>
      <c r="D676" s="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5" customHeight="1">
      <c r="A677" s="11"/>
      <c r="C677" s="7"/>
      <c r="D677" s="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5" customHeight="1">
      <c r="A678" s="11"/>
      <c r="C678" s="7"/>
      <c r="D678" s="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5" customHeight="1">
      <c r="A679" s="11"/>
      <c r="C679" s="7"/>
      <c r="D679" s="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5" customHeight="1">
      <c r="A680" s="11"/>
      <c r="C680" s="7"/>
      <c r="D680" s="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5" customHeight="1">
      <c r="A681" s="11"/>
      <c r="C681" s="7"/>
      <c r="D681" s="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5" customHeight="1">
      <c r="A682" s="11"/>
      <c r="C682" s="7"/>
      <c r="D682" s="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5" customHeight="1">
      <c r="A683" s="11"/>
      <c r="C683" s="7"/>
      <c r="D683" s="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5" customHeight="1">
      <c r="A684" s="11"/>
      <c r="C684" s="7"/>
      <c r="D684" s="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5" customHeight="1">
      <c r="A685" s="11"/>
      <c r="C685" s="7"/>
      <c r="D685" s="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5" customHeight="1">
      <c r="A686" s="11"/>
      <c r="C686" s="7"/>
      <c r="D686" s="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5" customHeight="1">
      <c r="A687" s="11"/>
      <c r="C687" s="7"/>
      <c r="D687" s="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5" customHeight="1">
      <c r="A688" s="11"/>
      <c r="C688" s="7"/>
      <c r="D688" s="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5" customHeight="1">
      <c r="A689" s="11"/>
      <c r="C689" s="7"/>
      <c r="D689" s="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5" customHeight="1">
      <c r="A690" s="11"/>
      <c r="C690" s="7"/>
      <c r="D690" s="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5" customHeight="1">
      <c r="A691" s="11"/>
      <c r="C691" s="7"/>
      <c r="D691" s="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5" customHeight="1">
      <c r="A692" s="11"/>
      <c r="C692" s="7"/>
      <c r="D692" s="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5" customHeight="1">
      <c r="A693" s="11"/>
      <c r="C693" s="7"/>
      <c r="D693" s="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5" customHeight="1">
      <c r="A694" s="11"/>
      <c r="C694" s="7"/>
      <c r="D694" s="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5" customHeight="1">
      <c r="A695" s="11"/>
      <c r="C695" s="7"/>
      <c r="D695" s="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5" customHeight="1">
      <c r="A696" s="11"/>
      <c r="C696" s="7"/>
      <c r="D696" s="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5" customHeight="1">
      <c r="A697" s="11"/>
      <c r="C697" s="7"/>
      <c r="D697" s="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5" customHeight="1">
      <c r="A698" s="11"/>
      <c r="C698" s="7"/>
      <c r="D698" s="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5" customHeight="1">
      <c r="A699" s="11"/>
      <c r="C699" s="7"/>
      <c r="D699" s="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5" customHeight="1">
      <c r="A700" s="11"/>
      <c r="C700" s="7"/>
      <c r="D700" s="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5" customHeight="1">
      <c r="A701" s="11"/>
      <c r="C701" s="7"/>
      <c r="D701" s="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5" customHeight="1">
      <c r="A702" s="11"/>
      <c r="C702" s="7"/>
      <c r="D702" s="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5" customHeight="1">
      <c r="A703" s="11"/>
      <c r="C703" s="7"/>
      <c r="D703" s="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5" customHeight="1">
      <c r="A704" s="11"/>
      <c r="C704" s="7"/>
      <c r="D704" s="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5" customHeight="1">
      <c r="A705" s="11"/>
      <c r="C705" s="7"/>
      <c r="D705" s="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5" customHeight="1">
      <c r="A706" s="11"/>
      <c r="C706" s="7"/>
      <c r="D706" s="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5" customHeight="1">
      <c r="A707" s="11"/>
      <c r="C707" s="7"/>
      <c r="D707" s="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5" customHeight="1">
      <c r="A708" s="11"/>
      <c r="C708" s="7"/>
      <c r="D708" s="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5" customHeight="1">
      <c r="A709" s="11"/>
      <c r="C709" s="7"/>
      <c r="D709" s="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5" customHeight="1">
      <c r="A710" s="11"/>
      <c r="C710" s="7"/>
      <c r="D710" s="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5" customHeight="1">
      <c r="A711" s="11"/>
      <c r="C711" s="7"/>
      <c r="D711" s="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5" customHeight="1">
      <c r="A712" s="11"/>
      <c r="C712" s="7"/>
      <c r="D712" s="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5" customHeight="1">
      <c r="A713" s="11"/>
      <c r="C713" s="7"/>
      <c r="D713" s="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5" customHeight="1">
      <c r="A714" s="11"/>
      <c r="C714" s="7"/>
      <c r="D714" s="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5" customHeight="1">
      <c r="A715" s="11"/>
      <c r="C715" s="7"/>
      <c r="D715" s="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5" customHeight="1">
      <c r="A716" s="11"/>
      <c r="C716" s="7"/>
      <c r="D716" s="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5" customHeight="1">
      <c r="A717" s="11"/>
      <c r="C717" s="7"/>
      <c r="D717" s="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5" customHeight="1">
      <c r="A718" s="11"/>
      <c r="C718" s="7"/>
      <c r="D718" s="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5" customHeight="1">
      <c r="A719" s="11"/>
      <c r="C719" s="7"/>
      <c r="D719" s="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5" customHeight="1">
      <c r="A720" s="11"/>
      <c r="C720" s="7"/>
      <c r="D720" s="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5" customHeight="1">
      <c r="A721" s="11"/>
      <c r="C721" s="7"/>
      <c r="D721" s="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5" customHeight="1">
      <c r="A722" s="11"/>
      <c r="C722" s="7"/>
      <c r="D722" s="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5" customHeight="1">
      <c r="A723" s="11"/>
      <c r="C723" s="7"/>
      <c r="D723" s="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5" customHeight="1">
      <c r="A724" s="11"/>
      <c r="C724" s="7"/>
      <c r="D724" s="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5" customHeight="1">
      <c r="A725" s="11"/>
      <c r="C725" s="7"/>
      <c r="D725" s="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5" customHeight="1">
      <c r="A726" s="11"/>
      <c r="C726" s="7"/>
      <c r="D726" s="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5" customHeight="1">
      <c r="A727" s="11"/>
      <c r="C727" s="7"/>
      <c r="D727" s="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5" customHeight="1">
      <c r="A728" s="11"/>
      <c r="C728" s="7"/>
      <c r="D728" s="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5" customHeight="1">
      <c r="A729" s="11"/>
      <c r="C729" s="7"/>
      <c r="D729" s="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5" customHeight="1">
      <c r="A730" s="11"/>
      <c r="C730" s="7"/>
      <c r="D730" s="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5" customHeight="1">
      <c r="A731" s="11"/>
      <c r="C731" s="7"/>
      <c r="D731" s="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5" customHeight="1">
      <c r="A732" s="11"/>
      <c r="C732" s="7"/>
      <c r="D732" s="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5" customHeight="1">
      <c r="A733" s="11"/>
      <c r="C733" s="7"/>
      <c r="D733" s="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5" customHeight="1">
      <c r="A734" s="11"/>
      <c r="C734" s="7"/>
      <c r="D734" s="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5" customHeight="1">
      <c r="A735" s="11"/>
      <c r="C735" s="7"/>
      <c r="D735" s="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5" customHeight="1">
      <c r="A736" s="11"/>
      <c r="C736" s="7"/>
      <c r="D736" s="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5" customHeight="1">
      <c r="A737" s="11"/>
      <c r="C737" s="7"/>
      <c r="D737" s="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5" customHeight="1">
      <c r="A738" s="11"/>
      <c r="C738" s="7"/>
      <c r="D738" s="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5" customHeight="1">
      <c r="A739" s="11"/>
      <c r="C739" s="7"/>
      <c r="D739" s="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5" customHeight="1">
      <c r="A740" s="11"/>
      <c r="C740" s="7"/>
      <c r="D740" s="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5" customHeight="1">
      <c r="A741" s="11"/>
      <c r="C741" s="7"/>
      <c r="D741" s="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5" customHeight="1">
      <c r="A742" s="11"/>
      <c r="C742" s="7"/>
      <c r="D742" s="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5" customHeight="1">
      <c r="A743" s="11"/>
      <c r="C743" s="7"/>
      <c r="D743" s="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5" customHeight="1">
      <c r="A744" s="11"/>
      <c r="C744" s="7"/>
      <c r="D744" s="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5" customHeight="1">
      <c r="A745" s="11"/>
      <c r="C745" s="7"/>
      <c r="D745" s="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5" customHeight="1">
      <c r="A746" s="11"/>
      <c r="C746" s="7"/>
      <c r="D746" s="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5" customHeight="1">
      <c r="A747" s="11"/>
      <c r="C747" s="7"/>
      <c r="D747" s="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5" customHeight="1">
      <c r="A748" s="11"/>
      <c r="C748" s="7"/>
      <c r="D748" s="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5" customHeight="1">
      <c r="A749" s="11"/>
      <c r="C749" s="7"/>
      <c r="D749" s="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5" customHeight="1">
      <c r="A750" s="11"/>
      <c r="C750" s="7"/>
      <c r="D750" s="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5" customHeight="1">
      <c r="A751" s="11"/>
      <c r="C751" s="7"/>
      <c r="D751" s="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5" customHeight="1">
      <c r="A752" s="11"/>
      <c r="C752" s="7"/>
      <c r="D752" s="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5" customHeight="1">
      <c r="A753" s="11"/>
      <c r="C753" s="7"/>
      <c r="D753" s="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5" customHeight="1">
      <c r="A754" s="11"/>
      <c r="C754" s="7"/>
      <c r="D754" s="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5" customHeight="1">
      <c r="A755" s="11"/>
      <c r="C755" s="7"/>
      <c r="D755" s="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5" customHeight="1">
      <c r="A756" s="11"/>
      <c r="C756" s="7"/>
      <c r="D756" s="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5" customHeight="1">
      <c r="A757" s="11"/>
      <c r="C757" s="7"/>
      <c r="D757" s="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5" customHeight="1">
      <c r="A758" s="11"/>
      <c r="C758" s="7"/>
      <c r="D758" s="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5" customHeight="1">
      <c r="A759" s="11"/>
      <c r="C759" s="7"/>
      <c r="D759" s="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5" customHeight="1">
      <c r="A760" s="11"/>
      <c r="C760" s="7"/>
      <c r="D760" s="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5" customHeight="1">
      <c r="A761" s="11"/>
      <c r="C761" s="7"/>
      <c r="D761" s="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5" customHeight="1">
      <c r="A762" s="11"/>
      <c r="C762" s="7"/>
      <c r="D762" s="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5" customHeight="1">
      <c r="A763" s="11"/>
      <c r="C763" s="7"/>
      <c r="D763" s="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5" customHeight="1">
      <c r="A764" s="11"/>
      <c r="C764" s="7"/>
      <c r="D764" s="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5" customHeight="1">
      <c r="A765" s="11"/>
      <c r="C765" s="7"/>
      <c r="D765" s="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5" customHeight="1">
      <c r="A766" s="11"/>
      <c r="C766" s="7"/>
      <c r="D766" s="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5" customHeight="1">
      <c r="A767" s="11"/>
      <c r="C767" s="7"/>
      <c r="D767" s="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5" customHeight="1">
      <c r="A768" s="11"/>
      <c r="C768" s="7"/>
      <c r="D768" s="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5" customHeight="1">
      <c r="A769" s="11"/>
      <c r="C769" s="7"/>
      <c r="D769" s="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5" customHeight="1">
      <c r="A770" s="11"/>
      <c r="C770" s="7"/>
      <c r="D770" s="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5" customHeight="1">
      <c r="A771" s="11"/>
      <c r="C771" s="7"/>
      <c r="D771" s="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5" customHeight="1">
      <c r="A772" s="11"/>
      <c r="C772" s="7"/>
      <c r="D772" s="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5" customHeight="1">
      <c r="A773" s="11"/>
      <c r="C773" s="7"/>
      <c r="D773" s="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5" customHeight="1">
      <c r="A774" s="11"/>
      <c r="C774" s="7"/>
      <c r="D774" s="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5" customHeight="1">
      <c r="A775" s="11"/>
      <c r="C775" s="7"/>
      <c r="D775" s="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5" customHeight="1">
      <c r="A776" s="11"/>
      <c r="C776" s="7"/>
      <c r="D776" s="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5" customHeight="1">
      <c r="A777" s="11"/>
      <c r="C777" s="7"/>
      <c r="D777" s="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5" customHeight="1">
      <c r="A778" s="11"/>
      <c r="C778" s="7"/>
      <c r="D778" s="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5" customHeight="1">
      <c r="A779" s="11"/>
      <c r="C779" s="7"/>
      <c r="D779" s="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5" customHeight="1">
      <c r="A780" s="11"/>
      <c r="C780" s="7"/>
      <c r="D780" s="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5" customHeight="1">
      <c r="A781" s="11"/>
      <c r="C781" s="7"/>
      <c r="D781" s="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5" customHeight="1">
      <c r="A782" s="11"/>
      <c r="C782" s="7"/>
      <c r="D782" s="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5" customHeight="1">
      <c r="A783" s="11"/>
      <c r="C783" s="7"/>
      <c r="D783" s="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5" customHeight="1">
      <c r="A784" s="11"/>
      <c r="C784" s="7"/>
      <c r="D784" s="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5" customHeight="1">
      <c r="A785" s="11"/>
      <c r="C785" s="7"/>
      <c r="D785" s="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5" customHeight="1">
      <c r="A786" s="11"/>
      <c r="C786" s="7"/>
      <c r="D786" s="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5" customHeight="1">
      <c r="A787" s="11"/>
      <c r="C787" s="7"/>
      <c r="D787" s="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5" customHeight="1">
      <c r="A788" s="11"/>
      <c r="C788" s="7"/>
      <c r="D788" s="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5" customHeight="1">
      <c r="A789" s="11"/>
      <c r="C789" s="7"/>
      <c r="D789" s="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5" customHeight="1">
      <c r="A790" s="11"/>
      <c r="C790" s="7"/>
      <c r="D790" s="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5" customHeight="1">
      <c r="A791" s="11"/>
      <c r="C791" s="7"/>
      <c r="D791" s="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5" customHeight="1">
      <c r="A792" s="11"/>
      <c r="C792" s="7"/>
      <c r="D792" s="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5" customHeight="1">
      <c r="A793" s="11"/>
      <c r="C793" s="7"/>
      <c r="D793" s="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5" customHeight="1">
      <c r="A794" s="11"/>
      <c r="C794" s="7"/>
      <c r="D794" s="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5" customHeight="1">
      <c r="A795" s="11"/>
      <c r="C795" s="7"/>
      <c r="D795" s="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5" customHeight="1">
      <c r="A796" s="11"/>
      <c r="C796" s="7"/>
      <c r="D796" s="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5" customHeight="1">
      <c r="A797" s="11"/>
      <c r="C797" s="7"/>
      <c r="D797" s="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5" customHeight="1">
      <c r="A798" s="11"/>
      <c r="C798" s="7"/>
      <c r="D798" s="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5" customHeight="1">
      <c r="A799" s="11"/>
      <c r="C799" s="7"/>
      <c r="D799" s="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5" customHeight="1">
      <c r="A800" s="11"/>
      <c r="C800" s="7"/>
      <c r="D800" s="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5" customHeight="1">
      <c r="A801" s="11"/>
      <c r="C801" s="7"/>
      <c r="D801" s="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5" customHeight="1">
      <c r="A802" s="11"/>
      <c r="C802" s="7"/>
      <c r="D802" s="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5" customHeight="1">
      <c r="A803" s="11"/>
      <c r="C803" s="7"/>
      <c r="D803" s="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5" customHeight="1">
      <c r="A804" s="11"/>
      <c r="C804" s="7"/>
      <c r="D804" s="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5" customHeight="1">
      <c r="A805" s="11"/>
      <c r="C805" s="7"/>
      <c r="D805" s="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5" customHeight="1">
      <c r="A806" s="11"/>
      <c r="C806" s="7"/>
      <c r="D806" s="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5" customHeight="1">
      <c r="A807" s="11"/>
      <c r="C807" s="7"/>
      <c r="D807" s="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5" customHeight="1">
      <c r="A808" s="11"/>
      <c r="C808" s="7"/>
      <c r="D808" s="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5" customHeight="1">
      <c r="A809" s="11"/>
      <c r="C809" s="7"/>
      <c r="D809" s="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5" customHeight="1">
      <c r="A810" s="11"/>
      <c r="C810" s="7"/>
      <c r="D810" s="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5" customHeight="1">
      <c r="A811" s="11"/>
      <c r="C811" s="7"/>
      <c r="D811" s="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5" customHeight="1">
      <c r="A812" s="11"/>
      <c r="C812" s="7"/>
      <c r="D812" s="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5" customHeight="1">
      <c r="A813" s="11"/>
      <c r="C813" s="7"/>
      <c r="D813" s="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5" customHeight="1">
      <c r="A814" s="11"/>
      <c r="C814" s="7"/>
      <c r="D814" s="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5" customHeight="1">
      <c r="A815" s="11"/>
      <c r="C815" s="7"/>
      <c r="D815" s="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5" customHeight="1">
      <c r="A816" s="11"/>
      <c r="C816" s="7"/>
      <c r="D816" s="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5" customHeight="1">
      <c r="A817" s="11"/>
      <c r="C817" s="7"/>
      <c r="D817" s="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5" customHeight="1">
      <c r="A818" s="11"/>
      <c r="C818" s="7"/>
      <c r="D818" s="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5" customHeight="1">
      <c r="A819" s="11"/>
      <c r="C819" s="7"/>
      <c r="D819" s="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5" customHeight="1">
      <c r="A820" s="11"/>
      <c r="C820" s="7"/>
      <c r="D820" s="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5" customHeight="1">
      <c r="A821" s="11"/>
      <c r="C821" s="7"/>
      <c r="D821" s="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5" customHeight="1">
      <c r="A822" s="11"/>
      <c r="C822" s="7"/>
      <c r="D822" s="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5" customHeight="1">
      <c r="A823" s="11"/>
      <c r="C823" s="7"/>
      <c r="D823" s="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5" customHeight="1">
      <c r="A824" s="11"/>
      <c r="C824" s="7"/>
      <c r="D824" s="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5" customHeight="1">
      <c r="A825" s="11"/>
      <c r="C825" s="7"/>
      <c r="D825" s="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5" customHeight="1">
      <c r="A826" s="11"/>
      <c r="C826" s="7"/>
      <c r="D826" s="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5" customHeight="1">
      <c r="A827" s="11"/>
      <c r="C827" s="7"/>
      <c r="D827" s="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5" customHeight="1">
      <c r="A828" s="11"/>
      <c r="C828" s="7"/>
      <c r="D828" s="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5" customHeight="1">
      <c r="A829" s="11"/>
      <c r="C829" s="7"/>
      <c r="D829" s="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5" customHeight="1">
      <c r="A830" s="11"/>
      <c r="C830" s="7"/>
      <c r="D830" s="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5" customHeight="1">
      <c r="A831" s="11"/>
      <c r="C831" s="7"/>
      <c r="D831" s="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5" customHeight="1">
      <c r="A832" s="11"/>
      <c r="C832" s="7"/>
      <c r="D832" s="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5" customHeight="1">
      <c r="A833" s="11"/>
      <c r="C833" s="7"/>
      <c r="D833" s="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5" customHeight="1">
      <c r="A834" s="11"/>
      <c r="C834" s="7"/>
      <c r="D834" s="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5" customHeight="1">
      <c r="A835" s="11"/>
      <c r="C835" s="7"/>
      <c r="D835" s="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5" customHeight="1">
      <c r="A836" s="11"/>
      <c r="C836" s="7"/>
      <c r="D836" s="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5" customHeight="1">
      <c r="A837" s="11"/>
      <c r="C837" s="7"/>
      <c r="D837" s="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5" customHeight="1">
      <c r="A838" s="11"/>
      <c r="C838" s="7"/>
      <c r="D838" s="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5" customHeight="1">
      <c r="A839" s="11"/>
      <c r="C839" s="7"/>
      <c r="D839" s="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5" customHeight="1">
      <c r="A840" s="11"/>
      <c r="C840" s="7"/>
      <c r="D840" s="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5" customHeight="1">
      <c r="A841" s="11"/>
      <c r="C841" s="7"/>
      <c r="D841" s="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5" customHeight="1">
      <c r="A842" s="11"/>
      <c r="C842" s="7"/>
      <c r="D842" s="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5" customHeight="1">
      <c r="A843" s="11"/>
      <c r="C843" s="7"/>
      <c r="D843" s="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5" customHeight="1">
      <c r="A844" s="11"/>
      <c r="C844" s="7"/>
      <c r="D844" s="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5" customHeight="1">
      <c r="A845" s="11"/>
      <c r="C845" s="7"/>
      <c r="D845" s="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5" customHeight="1">
      <c r="A846" s="11"/>
      <c r="C846" s="7"/>
      <c r="D846" s="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5" customHeight="1">
      <c r="A847" s="11"/>
      <c r="C847" s="7"/>
      <c r="D847" s="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5" customHeight="1">
      <c r="A848" s="11"/>
      <c r="C848" s="7"/>
      <c r="D848" s="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5" customHeight="1">
      <c r="A849" s="11"/>
      <c r="C849" s="7"/>
      <c r="D849" s="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5" customHeight="1">
      <c r="A850" s="11"/>
      <c r="C850" s="7"/>
      <c r="D850" s="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5" customHeight="1">
      <c r="A851" s="11"/>
      <c r="C851" s="7"/>
      <c r="D851" s="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5" customHeight="1">
      <c r="A852" s="11"/>
      <c r="C852" s="7"/>
      <c r="D852" s="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5" customHeight="1">
      <c r="A853" s="11"/>
      <c r="C853" s="7"/>
      <c r="D853" s="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5" customHeight="1">
      <c r="A854" s="11"/>
      <c r="C854" s="7"/>
      <c r="D854" s="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5" customHeight="1">
      <c r="A855" s="11"/>
      <c r="C855" s="7"/>
      <c r="D855" s="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5" customHeight="1">
      <c r="A856" s="11"/>
      <c r="C856" s="7"/>
      <c r="D856" s="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5" customHeight="1">
      <c r="A857" s="11"/>
      <c r="C857" s="7"/>
      <c r="D857" s="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5" customHeight="1">
      <c r="A858" s="11"/>
      <c r="C858" s="7"/>
      <c r="D858" s="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5" customHeight="1">
      <c r="A859" s="11"/>
      <c r="C859" s="7"/>
      <c r="D859" s="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5" customHeight="1">
      <c r="A860" s="11"/>
      <c r="C860" s="7"/>
      <c r="D860" s="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5" customHeight="1">
      <c r="A861" s="11"/>
      <c r="C861" s="7"/>
      <c r="D861" s="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5" customHeight="1">
      <c r="A862" s="11"/>
      <c r="C862" s="7"/>
      <c r="D862" s="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5" customHeight="1">
      <c r="A863" s="11"/>
      <c r="C863" s="7"/>
      <c r="D863" s="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5" customHeight="1">
      <c r="A864" s="11"/>
      <c r="C864" s="7"/>
      <c r="D864" s="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5" customHeight="1">
      <c r="A865" s="11"/>
      <c r="C865" s="7"/>
      <c r="D865" s="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5" customHeight="1">
      <c r="A866" s="11"/>
      <c r="C866" s="7"/>
      <c r="D866" s="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5" customHeight="1">
      <c r="A867" s="11"/>
      <c r="C867" s="7"/>
      <c r="D867" s="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5" customHeight="1">
      <c r="A868" s="11"/>
      <c r="C868" s="7"/>
      <c r="D868" s="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5" customHeight="1">
      <c r="A869" s="11"/>
      <c r="C869" s="7"/>
      <c r="D869" s="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5" customHeight="1">
      <c r="A870" s="11"/>
      <c r="C870" s="7"/>
      <c r="D870" s="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5" customHeight="1">
      <c r="A871" s="11"/>
      <c r="C871" s="7"/>
      <c r="D871" s="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5" customHeight="1">
      <c r="A872" s="11"/>
      <c r="C872" s="7"/>
      <c r="D872" s="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5" customHeight="1">
      <c r="A873" s="11"/>
      <c r="C873" s="7"/>
      <c r="D873" s="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5" customHeight="1">
      <c r="A874" s="11"/>
      <c r="C874" s="7"/>
      <c r="D874" s="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5" customHeight="1">
      <c r="A875" s="11"/>
      <c r="C875" s="7"/>
      <c r="D875" s="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5" customHeight="1">
      <c r="A876" s="11"/>
      <c r="C876" s="7"/>
      <c r="D876" s="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5" customHeight="1">
      <c r="A877" s="11"/>
      <c r="C877" s="7"/>
      <c r="D877" s="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5" customHeight="1">
      <c r="A878" s="11"/>
      <c r="C878" s="7"/>
      <c r="D878" s="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5" customHeight="1">
      <c r="A879" s="11"/>
      <c r="C879" s="7"/>
      <c r="D879" s="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5" customHeight="1">
      <c r="A880" s="11"/>
      <c r="C880" s="7"/>
      <c r="D880" s="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5" customHeight="1">
      <c r="A881" s="11"/>
      <c r="C881" s="7"/>
      <c r="D881" s="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5" customHeight="1">
      <c r="A882" s="11"/>
      <c r="C882" s="7"/>
      <c r="D882" s="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5" customHeight="1">
      <c r="A883" s="11"/>
      <c r="C883" s="7"/>
      <c r="D883" s="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5" customHeight="1">
      <c r="A884" s="11"/>
      <c r="C884" s="7"/>
      <c r="D884" s="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5" customHeight="1">
      <c r="A885" s="11"/>
      <c r="C885" s="7"/>
      <c r="D885" s="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5" customHeight="1">
      <c r="A886" s="11"/>
      <c r="C886" s="7"/>
      <c r="D886" s="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5" customHeight="1">
      <c r="A887" s="11"/>
      <c r="C887" s="7"/>
      <c r="D887" s="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5" customHeight="1">
      <c r="A888" s="11"/>
      <c r="C888" s="7"/>
      <c r="D888" s="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5" customHeight="1">
      <c r="A889" s="11"/>
      <c r="C889" s="7"/>
      <c r="D889" s="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5" customHeight="1">
      <c r="A890" s="11"/>
      <c r="C890" s="7"/>
      <c r="D890" s="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5" customHeight="1">
      <c r="A891" s="11"/>
      <c r="C891" s="7"/>
      <c r="D891" s="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5" customHeight="1">
      <c r="A892" s="11"/>
      <c r="C892" s="7"/>
      <c r="D892" s="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5" customHeight="1">
      <c r="A893" s="11"/>
      <c r="C893" s="7"/>
      <c r="D893" s="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5" customHeight="1">
      <c r="A894" s="11"/>
      <c r="C894" s="7"/>
      <c r="D894" s="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5" customHeight="1">
      <c r="A895" s="11"/>
      <c r="C895" s="7"/>
      <c r="D895" s="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5" customHeight="1">
      <c r="A896" s="11"/>
      <c r="C896" s="7"/>
      <c r="D896" s="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5" customHeight="1">
      <c r="A897" s="11"/>
      <c r="C897" s="7"/>
      <c r="D897" s="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5" customHeight="1">
      <c r="A898" s="11"/>
      <c r="C898" s="7"/>
      <c r="D898" s="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5" customHeight="1">
      <c r="A899" s="11"/>
      <c r="C899" s="7"/>
      <c r="D899" s="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5" customHeight="1">
      <c r="A900" s="11"/>
      <c r="C900" s="7"/>
      <c r="D900" s="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5" customHeight="1">
      <c r="A901" s="11"/>
      <c r="C901" s="7"/>
      <c r="D901" s="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5" customHeight="1">
      <c r="A902" s="11"/>
      <c r="C902" s="7"/>
      <c r="D902" s="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5" customHeight="1">
      <c r="A903" s="11"/>
      <c r="C903" s="7"/>
      <c r="D903" s="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5" customHeight="1">
      <c r="A904" s="11"/>
      <c r="C904" s="7"/>
      <c r="D904" s="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5" customHeight="1">
      <c r="A905" s="11"/>
      <c r="C905" s="7"/>
      <c r="D905" s="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5" customHeight="1">
      <c r="A906" s="11"/>
      <c r="C906" s="7"/>
      <c r="D906" s="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5" customHeight="1">
      <c r="A907" s="11"/>
      <c r="C907" s="7"/>
      <c r="D907" s="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5" customHeight="1">
      <c r="A908" s="11"/>
      <c r="C908" s="7"/>
      <c r="D908" s="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5" customHeight="1">
      <c r="A909" s="11"/>
      <c r="C909" s="7"/>
      <c r="D909" s="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5" customHeight="1">
      <c r="A910" s="11"/>
      <c r="C910" s="7"/>
      <c r="D910" s="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5" customHeight="1">
      <c r="A911" s="11"/>
      <c r="C911" s="7"/>
      <c r="D911" s="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5" customHeight="1">
      <c r="A912" s="11"/>
      <c r="C912" s="7"/>
      <c r="D912" s="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5" customHeight="1">
      <c r="A913" s="11"/>
      <c r="C913" s="7"/>
      <c r="D913" s="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5" customHeight="1">
      <c r="A914" s="11"/>
      <c r="C914" s="7"/>
      <c r="D914" s="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5" customHeight="1">
      <c r="A915" s="11"/>
      <c r="C915" s="7"/>
      <c r="D915" s="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5" customHeight="1">
      <c r="A916" s="11"/>
      <c r="C916" s="7"/>
      <c r="D916" s="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5" customHeight="1">
      <c r="A917" s="11"/>
      <c r="C917" s="7"/>
      <c r="D917" s="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5" customHeight="1">
      <c r="A918" s="11"/>
      <c r="C918" s="7"/>
      <c r="D918" s="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5" customHeight="1">
      <c r="A919" s="11"/>
      <c r="C919" s="7"/>
      <c r="D919" s="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5" customHeight="1">
      <c r="A920" s="11"/>
      <c r="C920" s="7"/>
      <c r="D920" s="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5" customHeight="1">
      <c r="A921" s="11"/>
      <c r="C921" s="7"/>
      <c r="D921" s="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5" customHeight="1">
      <c r="A922" s="11"/>
      <c r="C922" s="7"/>
      <c r="D922" s="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5" customHeight="1">
      <c r="A923" s="11"/>
      <c r="C923" s="7"/>
      <c r="D923" s="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5" customHeight="1">
      <c r="A924" s="11"/>
      <c r="C924" s="7"/>
      <c r="D924" s="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5" customHeight="1">
      <c r="A925" s="11"/>
      <c r="C925" s="7"/>
      <c r="D925" s="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5" customHeight="1">
      <c r="A926" s="11"/>
      <c r="C926" s="7"/>
      <c r="D926" s="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5" customHeight="1">
      <c r="A927" s="11"/>
      <c r="C927" s="7"/>
      <c r="D927" s="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5" customHeight="1">
      <c r="A928" s="11"/>
      <c r="C928" s="7"/>
      <c r="D928" s="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5" customHeight="1">
      <c r="A929" s="11"/>
      <c r="C929" s="7"/>
      <c r="D929" s="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5" customHeight="1">
      <c r="A930" s="11"/>
      <c r="C930" s="7"/>
      <c r="D930" s="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5" customHeight="1">
      <c r="A931" s="11"/>
      <c r="C931" s="7"/>
      <c r="D931" s="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5" customHeight="1">
      <c r="A932" s="11"/>
      <c r="C932" s="7"/>
      <c r="D932" s="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5" customHeight="1">
      <c r="A933" s="11"/>
      <c r="C933" s="7"/>
      <c r="D933" s="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5" customHeight="1">
      <c r="A934" s="11"/>
      <c r="C934" s="7"/>
      <c r="D934" s="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5" customHeight="1">
      <c r="A935" s="11"/>
      <c r="C935" s="7"/>
      <c r="D935" s="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5" customHeight="1">
      <c r="A936" s="11"/>
      <c r="C936" s="7"/>
      <c r="D936" s="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5" customHeight="1">
      <c r="A937" s="11"/>
      <c r="C937" s="7"/>
      <c r="D937" s="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5" customHeight="1">
      <c r="A938" s="11"/>
      <c r="C938" s="7"/>
      <c r="D938" s="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5" customHeight="1">
      <c r="A939" s="11"/>
      <c r="C939" s="7"/>
      <c r="D939" s="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5" customHeight="1">
      <c r="A940" s="11"/>
      <c r="C940" s="7"/>
      <c r="D940" s="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5" customHeight="1">
      <c r="A941" s="11"/>
      <c r="C941" s="7"/>
      <c r="D941" s="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5" customHeight="1">
      <c r="A942" s="11"/>
      <c r="C942" s="7"/>
      <c r="D942" s="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5" customHeight="1">
      <c r="A943" s="11"/>
      <c r="C943" s="7"/>
      <c r="D943" s="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5" customHeight="1">
      <c r="A944" s="11"/>
      <c r="C944" s="7"/>
      <c r="D944" s="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5" customHeight="1">
      <c r="A945" s="11"/>
      <c r="C945" s="7"/>
      <c r="D945" s="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5" customHeight="1">
      <c r="A946" s="11"/>
      <c r="C946" s="7"/>
      <c r="D946" s="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5" customHeight="1">
      <c r="A947" s="11"/>
      <c r="C947" s="7"/>
      <c r="D947" s="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5" customHeight="1">
      <c r="A948" s="11"/>
      <c r="C948" s="7"/>
      <c r="D948" s="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5" customHeight="1">
      <c r="A949" s="11"/>
      <c r="C949" s="7"/>
      <c r="D949" s="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5" customHeight="1">
      <c r="A950" s="11"/>
      <c r="C950" s="7"/>
      <c r="D950" s="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5" customHeight="1">
      <c r="A951" s="11"/>
      <c r="C951" s="7"/>
      <c r="D951" s="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5" customHeight="1">
      <c r="A952" s="11"/>
      <c r="C952" s="7"/>
      <c r="D952" s="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5" customHeight="1">
      <c r="A953" s="11"/>
      <c r="C953" s="7"/>
      <c r="D953" s="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5" customHeight="1">
      <c r="A954" s="11"/>
      <c r="C954" s="7"/>
      <c r="D954" s="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5" customHeight="1">
      <c r="A955" s="11"/>
      <c r="C955" s="7"/>
      <c r="D955" s="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5" customHeight="1">
      <c r="A956" s="11"/>
      <c r="C956" s="7"/>
      <c r="D956" s="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5" customHeight="1">
      <c r="A957" s="11"/>
      <c r="C957" s="7"/>
      <c r="D957" s="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5" customHeight="1">
      <c r="A958" s="11"/>
      <c r="C958" s="7"/>
      <c r="D958" s="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5" customHeight="1">
      <c r="A959" s="11"/>
      <c r="C959" s="7"/>
      <c r="D959" s="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5" customHeight="1">
      <c r="A960" s="11"/>
      <c r="C960" s="7"/>
      <c r="D960" s="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5" customHeight="1">
      <c r="A961" s="11"/>
      <c r="C961" s="7"/>
      <c r="D961" s="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5" customHeight="1">
      <c r="A962" s="11"/>
      <c r="C962" s="7"/>
      <c r="D962" s="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5" customHeight="1">
      <c r="A963" s="11"/>
      <c r="C963" s="7"/>
      <c r="D963" s="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5" customHeight="1">
      <c r="A964" s="11"/>
      <c r="C964" s="7"/>
      <c r="D964" s="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5" customHeight="1">
      <c r="A965" s="11"/>
      <c r="C965" s="7"/>
      <c r="D965" s="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5" customHeight="1">
      <c r="A966" s="11"/>
      <c r="C966" s="7"/>
      <c r="D966" s="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5" customHeight="1">
      <c r="A967" s="11"/>
      <c r="C967" s="7"/>
      <c r="D967" s="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5" customHeight="1">
      <c r="A968" s="11"/>
      <c r="C968" s="7"/>
      <c r="D968" s="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5" customHeight="1">
      <c r="A969" s="11"/>
      <c r="C969" s="7"/>
      <c r="D969" s="7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5" customHeight="1">
      <c r="A970" s="11"/>
      <c r="C970" s="7"/>
      <c r="D970" s="7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5" customHeight="1">
      <c r="A971" s="11"/>
      <c r="C971" s="7"/>
      <c r="D971" s="7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5" customHeight="1">
      <c r="A972" s="11"/>
      <c r="C972" s="7"/>
      <c r="D972" s="7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5" customHeight="1">
      <c r="A973" s="11"/>
      <c r="C973" s="7"/>
      <c r="D973" s="7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5" customHeight="1">
      <c r="A974" s="11"/>
      <c r="C974" s="7"/>
      <c r="D974" s="7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5" customHeight="1">
      <c r="A975" s="11"/>
      <c r="C975" s="7"/>
      <c r="D975" s="7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5" customHeight="1">
      <c r="A976" s="11"/>
      <c r="C976" s="7"/>
      <c r="D976" s="7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5" customHeight="1">
      <c r="A977" s="11"/>
      <c r="C977" s="7"/>
      <c r="D977" s="7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5" customHeight="1">
      <c r="A978" s="11"/>
      <c r="C978" s="7"/>
      <c r="D978" s="7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5" customHeight="1">
      <c r="A979" s="11"/>
      <c r="C979" s="7"/>
      <c r="D979" s="7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5" customHeight="1">
      <c r="A980" s="11"/>
      <c r="C980" s="7"/>
      <c r="D980" s="7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5" customHeight="1">
      <c r="A981" s="11"/>
      <c r="C981" s="7"/>
      <c r="D981" s="7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5" customHeight="1">
      <c r="A982" s="11"/>
      <c r="C982" s="7"/>
      <c r="D982" s="7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5" customHeight="1">
      <c r="A983" s="11"/>
      <c r="C983" s="7"/>
      <c r="D983" s="7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5" customHeight="1">
      <c r="A984" s="11"/>
      <c r="C984" s="7"/>
      <c r="D984" s="7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5" customHeight="1">
      <c r="A985" s="11"/>
      <c r="C985" s="7"/>
      <c r="D985" s="7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5" customHeight="1">
      <c r="A986" s="11"/>
      <c r="C986" s="7"/>
      <c r="D986" s="7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5" customHeight="1">
      <c r="A987" s="11"/>
      <c r="C987" s="7"/>
      <c r="D987" s="7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5" customHeight="1">
      <c r="A988" s="11"/>
      <c r="C988" s="7"/>
      <c r="D988" s="7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5" customHeight="1">
      <c r="A989" s="11"/>
      <c r="C989" s="7"/>
      <c r="D989" s="7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5" customHeight="1">
      <c r="A990" s="11"/>
      <c r="C990" s="7"/>
      <c r="D990" s="7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5" customHeight="1">
      <c r="A991" s="11"/>
      <c r="C991" s="7"/>
      <c r="D991" s="7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5" customHeight="1">
      <c r="A992" s="11"/>
      <c r="C992" s="7"/>
      <c r="D992" s="7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5" customHeight="1">
      <c r="A993" s="11"/>
      <c r="C993" s="7"/>
      <c r="D993" s="7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5" customHeight="1">
      <c r="A994" s="11"/>
      <c r="C994" s="7"/>
      <c r="D994" s="7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5" customHeight="1">
      <c r="A995" s="11"/>
      <c r="C995" s="7"/>
      <c r="D995" s="7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5" customHeight="1">
      <c r="A996" s="11"/>
      <c r="C996" s="7"/>
      <c r="D996" s="7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5" customHeight="1">
      <c r="A997" s="11"/>
      <c r="C997" s="7"/>
      <c r="D997" s="7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5" customHeight="1">
      <c r="A998" s="11"/>
      <c r="C998" s="7"/>
      <c r="D998" s="7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5" customHeight="1">
      <c r="A999" s="11"/>
      <c r="C999" s="7"/>
      <c r="D999" s="7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5" customHeight="1">
      <c r="A1000" s="11"/>
      <c r="C1000" s="7"/>
      <c r="D1000" s="7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.5" customHeight="1">
      <c r="A1001" s="11"/>
      <c r="C1001" s="7"/>
      <c r="D1001" s="7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.5" customHeight="1">
      <c r="A1002" s="11"/>
      <c r="C1002" s="7"/>
      <c r="D1002" s="7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.5" customHeight="1">
      <c r="A1003" s="11"/>
      <c r="C1003" s="7"/>
      <c r="D1003" s="7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3.5" customHeight="1">
      <c r="A1004" s="11"/>
      <c r="C1004" s="7"/>
      <c r="D1004" s="7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3.5" customHeight="1">
      <c r="A1005" s="11"/>
      <c r="C1005" s="7"/>
      <c r="D1005" s="7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3.5" customHeight="1">
      <c r="A1006" s="11"/>
      <c r="C1006" s="7"/>
      <c r="D1006" s="7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3.5" customHeight="1">
      <c r="A1007" s="11"/>
      <c r="C1007" s="7"/>
      <c r="D1007" s="7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3.5" customHeight="1">
      <c r="A1008" s="11"/>
      <c r="C1008" s="7"/>
      <c r="D1008" s="7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3.5" customHeight="1">
      <c r="A1009" s="11"/>
      <c r="C1009" s="7"/>
      <c r="D1009" s="7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3.5" customHeight="1">
      <c r="A1010" s="11"/>
      <c r="C1010" s="7"/>
      <c r="D1010" s="7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3.5" customHeight="1">
      <c r="A1011" s="11"/>
      <c r="C1011" s="7"/>
      <c r="D1011" s="7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3.5" customHeight="1">
      <c r="A1012" s="11"/>
      <c r="C1012" s="7"/>
      <c r="D1012" s="7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3.5" customHeight="1">
      <c r="A1013" s="11"/>
      <c r="C1013" s="7"/>
      <c r="D1013" s="7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3.5" customHeight="1">
      <c r="A1014" s="11"/>
      <c r="C1014" s="7"/>
      <c r="D1014" s="7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3.5" customHeight="1">
      <c r="A1015" s="11"/>
      <c r="C1015" s="7"/>
      <c r="D1015" s="7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3.5" customHeight="1">
      <c r="A1016" s="11"/>
      <c r="C1016" s="7"/>
      <c r="D1016" s="7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3.5" customHeight="1">
      <c r="A1017" s="11"/>
      <c r="C1017" s="7"/>
      <c r="D1017" s="7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3.5" customHeight="1">
      <c r="A1018" s="11"/>
      <c r="C1018" s="7"/>
      <c r="D1018" s="7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3.5" customHeight="1">
      <c r="A1019" s="11"/>
      <c r="C1019" s="7"/>
      <c r="D1019" s="7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3.5" customHeight="1">
      <c r="A1020" s="11"/>
      <c r="C1020" s="7"/>
      <c r="D1020" s="7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3.5" customHeight="1">
      <c r="A1021" s="11"/>
      <c r="C1021" s="7"/>
      <c r="D1021" s="7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3.5" customHeight="1">
      <c r="A1022" s="11"/>
      <c r="C1022" s="7"/>
      <c r="D1022" s="7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</sheetData>
  <autoFilter ref="A4:E162" xr:uid="{00000000-0009-0000-0000-000009000000}"/>
  <pageMargins left="0.69930555555555596" right="0.69930555555555596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DA7A-92BD-42CA-BE37-3785430B7919}">
  <sheetPr codeName="Sheet11">
    <tabColor rgb="FF002060"/>
  </sheetPr>
  <dimension ref="A1:Z88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ColWidth="12.59765625" defaultRowHeight="15" customHeight="1"/>
  <cols>
    <col min="1" max="1" width="8.296875" customWidth="1"/>
    <col min="2" max="2" width="7.59765625" customWidth="1"/>
    <col min="3" max="3" width="22.69921875" style="166" customWidth="1"/>
    <col min="4" max="4" width="7.796875" customWidth="1"/>
    <col min="5" max="5" width="30.296875" customWidth="1"/>
    <col min="6" max="7" width="9.19921875" customWidth="1"/>
    <col min="8" max="8" width="24.5" customWidth="1"/>
    <col min="9" max="26" width="9.09765625" customWidth="1"/>
  </cols>
  <sheetData>
    <row r="1" spans="1:26" ht="13.5" customHeight="1">
      <c r="D1" s="11"/>
      <c r="E1" s="1"/>
      <c r="F1" s="7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2" t="s">
        <v>542</v>
      </c>
      <c r="E2" s="1"/>
      <c r="F2" s="11" t="s">
        <v>674</v>
      </c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D3" s="11"/>
      <c r="E3" s="1"/>
      <c r="F3" s="7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>
      <c r="A4" s="77" t="s">
        <v>675</v>
      </c>
      <c r="B4" s="77" t="s">
        <v>676</v>
      </c>
      <c r="C4" s="77" t="s">
        <v>677</v>
      </c>
      <c r="D4" s="77" t="s">
        <v>678</v>
      </c>
      <c r="E4" s="78" t="s">
        <v>411</v>
      </c>
      <c r="F4" s="79" t="s">
        <v>28</v>
      </c>
      <c r="G4" s="79" t="s">
        <v>412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>
      <c r="A5" s="52" t="s">
        <v>312</v>
      </c>
      <c r="B5" s="52" t="s">
        <v>312</v>
      </c>
      <c r="C5" s="51"/>
      <c r="D5" s="52" t="s">
        <v>312</v>
      </c>
      <c r="E5" s="6" t="s">
        <v>367</v>
      </c>
      <c r="F5" s="80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>
      <c r="A6" s="81">
        <v>10</v>
      </c>
      <c r="B6" s="241" t="s">
        <v>370</v>
      </c>
      <c r="C6" s="81"/>
      <c r="D6" s="81">
        <v>1000</v>
      </c>
      <c r="E6" s="82" t="s">
        <v>679</v>
      </c>
      <c r="F6" s="83" t="s">
        <v>30</v>
      </c>
      <c r="G6" s="83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>
      <c r="A7" s="84">
        <f>$A$6</f>
        <v>10</v>
      </c>
      <c r="B7" s="84">
        <v>11</v>
      </c>
      <c r="C7" s="167" t="str">
        <f>VLOOKUP(B7,'[1]Bo phan'!$B$5:$C$25,2,0)</f>
        <v>Bộ phận Ban Điều hành</v>
      </c>
      <c r="D7" s="84" t="str">
        <f t="shared" ref="D7:D24" si="0">A7&amp;B7</f>
        <v>1011</v>
      </c>
      <c r="E7" s="85" t="str">
        <f>"HCM."&amp;C7</f>
        <v>HCM.Bộ phận Ban Điều hành</v>
      </c>
      <c r="F7" s="86"/>
      <c r="G7" s="86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>
      <c r="A8" s="84">
        <f t="shared" ref="A8:A24" si="1">$A$6</f>
        <v>10</v>
      </c>
      <c r="B8" s="84">
        <f>B7+1</f>
        <v>12</v>
      </c>
      <c r="C8" s="167" t="str">
        <f>VLOOKUP(B8,'[1]Bo phan'!$B$5:$C$25,2,0)</f>
        <v>Bộ phận Kinh doanh</v>
      </c>
      <c r="D8" s="84" t="str">
        <f t="shared" si="0"/>
        <v>1012</v>
      </c>
      <c r="E8" s="85" t="str">
        <f t="shared" ref="E8:E24" si="2">"HCM."&amp;C8</f>
        <v>HCM.Bộ phận Kinh doanh</v>
      </c>
      <c r="F8" s="86"/>
      <c r="G8" s="86">
        <v>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84">
        <f t="shared" si="1"/>
        <v>10</v>
      </c>
      <c r="B9" s="84">
        <f t="shared" ref="B9:B24" si="3">B8+1</f>
        <v>13</v>
      </c>
      <c r="C9" s="167" t="str">
        <f>VLOOKUP(B9,'[1]Bo phan'!$B$5:$C$25,2,0)</f>
        <v>Bộ phận Logistic - Quản lý</v>
      </c>
      <c r="D9" s="84" t="str">
        <f t="shared" si="0"/>
        <v>1013</v>
      </c>
      <c r="E9" s="85" t="str">
        <f t="shared" si="2"/>
        <v>HCM.Bộ phận Logistic - Quản lý</v>
      </c>
      <c r="F9" s="86"/>
      <c r="G9" s="86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84">
        <f t="shared" si="1"/>
        <v>10</v>
      </c>
      <c r="B10" s="84">
        <f t="shared" si="3"/>
        <v>14</v>
      </c>
      <c r="C10" s="167" t="str">
        <f>VLOOKUP(B10,'[1]Bo phan'!$B$5:$C$25,2,0)</f>
        <v>Bộ phận Logistic - Kho</v>
      </c>
      <c r="D10" s="84" t="str">
        <f t="shared" si="0"/>
        <v>1014</v>
      </c>
      <c r="E10" s="85" t="str">
        <f t="shared" si="2"/>
        <v>HCM.Bộ phận Logistic - Kho</v>
      </c>
      <c r="F10" s="86"/>
      <c r="G10" s="86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>
      <c r="A11" s="84">
        <f t="shared" si="1"/>
        <v>10</v>
      </c>
      <c r="B11" s="84">
        <f t="shared" si="3"/>
        <v>15</v>
      </c>
      <c r="C11" s="167" t="str">
        <f>VLOOKUP(B11,'[1]Bo phan'!$B$5:$C$25,2,0)</f>
        <v>Bộ phận Logistic - Giao nhận</v>
      </c>
      <c r="D11" s="84" t="str">
        <f t="shared" si="0"/>
        <v>1015</v>
      </c>
      <c r="E11" s="85" t="str">
        <f t="shared" si="2"/>
        <v>HCM.Bộ phận Logistic - Giao nhận</v>
      </c>
      <c r="F11" s="86"/>
      <c r="G11" s="86"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84">
        <f t="shared" si="1"/>
        <v>10</v>
      </c>
      <c r="B12" s="84">
        <f t="shared" si="3"/>
        <v>16</v>
      </c>
      <c r="C12" s="167" t="str">
        <f>VLOOKUP(B12,'[1]Bo phan'!$B$5:$C$25,2,0)</f>
        <v>Bộ phận Marketing</v>
      </c>
      <c r="D12" s="84" t="str">
        <f t="shared" si="0"/>
        <v>1016</v>
      </c>
      <c r="E12" s="85" t="str">
        <f t="shared" si="2"/>
        <v>HCM.Bộ phận Marketing</v>
      </c>
      <c r="F12" s="86"/>
      <c r="G12" s="86">
        <v>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>
      <c r="A13" s="84">
        <f t="shared" si="1"/>
        <v>10</v>
      </c>
      <c r="B13" s="84">
        <f t="shared" si="3"/>
        <v>17</v>
      </c>
      <c r="C13" s="167" t="str">
        <f>VLOOKUP(B13,'[1]Bo phan'!$B$5:$C$25,2,0)</f>
        <v>Bộ phận Trade Marketing</v>
      </c>
      <c r="D13" s="84" t="str">
        <f t="shared" si="0"/>
        <v>1017</v>
      </c>
      <c r="E13" s="85" t="str">
        <f t="shared" si="2"/>
        <v>HCM.Bộ phận Trade Marketing</v>
      </c>
      <c r="F13" s="86"/>
      <c r="G13" s="86">
        <v>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75" customHeight="1">
      <c r="A14" s="84">
        <f t="shared" si="1"/>
        <v>10</v>
      </c>
      <c r="B14" s="84">
        <f t="shared" si="3"/>
        <v>18</v>
      </c>
      <c r="C14" s="167" t="str">
        <f>VLOOKUP(B14,'[1]Bo phan'!$B$5:$C$25,2,0)</f>
        <v>Bộ phận Tài chính - Kế toán</v>
      </c>
      <c r="D14" s="84" t="str">
        <f t="shared" si="0"/>
        <v>1018</v>
      </c>
      <c r="E14" s="85" t="str">
        <f t="shared" si="2"/>
        <v>HCM.Bộ phận Tài chính - Kế toán</v>
      </c>
      <c r="F14" s="86"/>
      <c r="G14" s="86">
        <v>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>
      <c r="A15" s="84">
        <f t="shared" si="1"/>
        <v>10</v>
      </c>
      <c r="B15" s="84">
        <f t="shared" si="3"/>
        <v>19</v>
      </c>
      <c r="C15" s="167" t="str">
        <f>VLOOKUP(B15,'[1]Bo phan'!$B$5:$C$25,2,0)</f>
        <v>Bộ phận Hành chính - Nhân sự</v>
      </c>
      <c r="D15" s="84" t="str">
        <f t="shared" si="0"/>
        <v>1019</v>
      </c>
      <c r="E15" s="85" t="str">
        <f t="shared" si="2"/>
        <v>HCM.Bộ phận Hành chính - Nhân sự</v>
      </c>
      <c r="F15" s="86"/>
      <c r="G15" s="86">
        <v>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75" customHeight="1">
      <c r="A16" s="84">
        <f t="shared" si="1"/>
        <v>10</v>
      </c>
      <c r="B16" s="84">
        <f t="shared" si="3"/>
        <v>20</v>
      </c>
      <c r="C16" s="167" t="str">
        <f>VLOOKUP(B16,'[1]Bo phan'!$B$5:$C$25,2,0)</f>
        <v>Bộ phận Kế hoạch</v>
      </c>
      <c r="D16" s="84" t="str">
        <f t="shared" si="0"/>
        <v>1020</v>
      </c>
      <c r="E16" s="85" t="str">
        <f t="shared" si="2"/>
        <v>HCM.Bộ phận Kế hoạch</v>
      </c>
      <c r="F16" s="86"/>
      <c r="G16" s="86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.75" customHeight="1">
      <c r="A17" s="84">
        <f t="shared" si="1"/>
        <v>10</v>
      </c>
      <c r="B17" s="84">
        <f t="shared" si="3"/>
        <v>21</v>
      </c>
      <c r="C17" s="167" t="str">
        <f>VLOOKUP(B17,'[1]Bo phan'!$B$5:$C$25,2,0)</f>
        <v>Bộ phận Xuất nhập khẩu</v>
      </c>
      <c r="D17" s="84" t="str">
        <f t="shared" si="0"/>
        <v>1021</v>
      </c>
      <c r="E17" s="85" t="str">
        <f t="shared" si="2"/>
        <v>HCM.Bộ phận Xuất nhập khẩu</v>
      </c>
      <c r="F17" s="86"/>
      <c r="G17" s="86">
        <v>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.75" customHeight="1">
      <c r="A18" s="84">
        <f t="shared" si="1"/>
        <v>10</v>
      </c>
      <c r="B18" s="84">
        <f t="shared" si="3"/>
        <v>22</v>
      </c>
      <c r="C18" s="167" t="str">
        <f>VLOOKUP(B18,'[1]Bo phan'!$B$5:$C$25,2,0)</f>
        <v>Bộ phận Sourcing</v>
      </c>
      <c r="D18" s="84" t="str">
        <f t="shared" si="0"/>
        <v>1022</v>
      </c>
      <c r="E18" s="85" t="str">
        <f t="shared" si="2"/>
        <v>HCM.Bộ phận Sourcing</v>
      </c>
      <c r="F18" s="86"/>
      <c r="G18" s="86">
        <v>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75" customHeight="1">
      <c r="A19" s="84">
        <f t="shared" si="1"/>
        <v>10</v>
      </c>
      <c r="B19" s="84">
        <f t="shared" si="3"/>
        <v>23</v>
      </c>
      <c r="C19" s="167" t="str">
        <f>VLOOKUP(B19,'[1]Bo phan'!$B$5:$C$25,2,0)</f>
        <v>Bộ phận Mua hàng</v>
      </c>
      <c r="D19" s="84" t="str">
        <f t="shared" si="0"/>
        <v>1023</v>
      </c>
      <c r="E19" s="85" t="str">
        <f t="shared" si="2"/>
        <v>HCM.Bộ phận Mua hàng</v>
      </c>
      <c r="F19" s="86"/>
      <c r="G19" s="86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75" customHeight="1">
      <c r="A20" s="84">
        <f t="shared" si="1"/>
        <v>10</v>
      </c>
      <c r="B20" s="84">
        <f t="shared" si="3"/>
        <v>24</v>
      </c>
      <c r="C20" s="167" t="str">
        <f>VLOOKUP(B20,'[1]Bo phan'!$B$5:$C$25,2,0)</f>
        <v>Bộ phận Công nghệ thông tin</v>
      </c>
      <c r="D20" s="84" t="str">
        <f t="shared" si="0"/>
        <v>1024</v>
      </c>
      <c r="E20" s="85" t="str">
        <f t="shared" si="2"/>
        <v>HCM.Bộ phận Công nghệ thông tin</v>
      </c>
      <c r="F20" s="86"/>
      <c r="G20" s="86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75" customHeight="1">
      <c r="A21" s="84">
        <f t="shared" si="1"/>
        <v>10</v>
      </c>
      <c r="B21" s="84">
        <f t="shared" si="3"/>
        <v>25</v>
      </c>
      <c r="C21" s="167" t="str">
        <f>VLOOKUP(B21,'[1]Bo phan'!$B$5:$C$25,2,0)</f>
        <v>Bộ phận Nghiên cứu phát triển</v>
      </c>
      <c r="D21" s="84" t="str">
        <f t="shared" si="0"/>
        <v>1025</v>
      </c>
      <c r="E21" s="85" t="str">
        <f t="shared" si="2"/>
        <v>HCM.Bộ phận Nghiên cứu phát triển</v>
      </c>
      <c r="F21" s="86"/>
      <c r="G21" s="86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84">
        <f t="shared" si="1"/>
        <v>10</v>
      </c>
      <c r="B22" s="84">
        <f t="shared" si="3"/>
        <v>26</v>
      </c>
      <c r="C22" s="167" t="str">
        <f>VLOOKUP(B22,'[1]Bo phan'!$B$5:$C$25,2,0)</f>
        <v>Bộ phận Bảo trì - Kỹ thuật - Cơ điện</v>
      </c>
      <c r="D22" s="84" t="str">
        <f t="shared" si="0"/>
        <v>1026</v>
      </c>
      <c r="E22" s="85" t="str">
        <f t="shared" si="2"/>
        <v>HCM.Bộ phận Bảo trì - Kỹ thuật - Cơ điện</v>
      </c>
      <c r="F22" s="86"/>
      <c r="G22" s="86">
        <v>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75" customHeight="1">
      <c r="A23" s="84">
        <f t="shared" si="1"/>
        <v>10</v>
      </c>
      <c r="B23" s="84">
        <f t="shared" si="3"/>
        <v>27</v>
      </c>
      <c r="C23" s="167" t="str">
        <f>VLOOKUP(B23,'[1]Bo phan'!$B$5:$C$25,2,0)</f>
        <v>Bộ phận QA-QC-ATTP-LAB</v>
      </c>
      <c r="D23" s="84" t="str">
        <f t="shared" si="0"/>
        <v>1027</v>
      </c>
      <c r="E23" s="85" t="str">
        <f t="shared" si="2"/>
        <v>HCM.Bộ phận QA-QC-ATTP-LAB</v>
      </c>
      <c r="F23" s="86"/>
      <c r="G23" s="86">
        <v>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75" customHeight="1">
      <c r="A24" s="84">
        <f t="shared" si="1"/>
        <v>10</v>
      </c>
      <c r="B24" s="84">
        <f t="shared" si="3"/>
        <v>28</v>
      </c>
      <c r="C24" s="167" t="str">
        <f>VLOOKUP(B24,'[1]Bo phan'!$B$5:$C$25,2,0)</f>
        <v>Bộ phận chung</v>
      </c>
      <c r="D24" s="84" t="str">
        <f t="shared" si="0"/>
        <v>1028</v>
      </c>
      <c r="E24" s="85" t="str">
        <f t="shared" si="2"/>
        <v>HCM.Bộ phận chung</v>
      </c>
      <c r="F24" s="86"/>
      <c r="G24" s="86">
        <v>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81">
        <v>20</v>
      </c>
      <c r="B25" s="241" t="s">
        <v>370</v>
      </c>
      <c r="C25" s="81"/>
      <c r="D25" s="81">
        <v>2000</v>
      </c>
      <c r="E25" s="82" t="s">
        <v>680</v>
      </c>
      <c r="F25" s="83" t="s">
        <v>30</v>
      </c>
      <c r="G25" s="83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84">
        <f>$A$25</f>
        <v>20</v>
      </c>
      <c r="B26" s="84">
        <v>11</v>
      </c>
      <c r="C26" s="167" t="str">
        <f>VLOOKUP(B26,'[1]Bo phan'!$B$5:$C$25,2,0)</f>
        <v>Bộ phận Ban Điều hành</v>
      </c>
      <c r="D26" s="84" t="str">
        <f t="shared" ref="D26:D43" si="4">A26&amp;B26</f>
        <v>2011</v>
      </c>
      <c r="E26" s="85" t="str">
        <f>"NTR."&amp;C26</f>
        <v>NTR.Bộ phận Ban Điều hành</v>
      </c>
      <c r="F26" s="86"/>
      <c r="G26" s="86">
        <v>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84">
        <f t="shared" ref="A27:A43" si="5">$A$25</f>
        <v>20</v>
      </c>
      <c r="B27" s="84">
        <f>B26+1</f>
        <v>12</v>
      </c>
      <c r="C27" s="167" t="str">
        <f>VLOOKUP(B27,'[1]Bo phan'!$B$5:$C$25,2,0)</f>
        <v>Bộ phận Kinh doanh</v>
      </c>
      <c r="D27" s="84" t="str">
        <f t="shared" si="4"/>
        <v>2012</v>
      </c>
      <c r="E27" s="85" t="str">
        <f t="shared" ref="E27:E43" si="6">"NTR."&amp;C27</f>
        <v>NTR.Bộ phận Kinh doanh</v>
      </c>
      <c r="F27" s="86"/>
      <c r="G27" s="86">
        <v>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customHeight="1">
      <c r="A28" s="84">
        <f t="shared" si="5"/>
        <v>20</v>
      </c>
      <c r="B28" s="84">
        <f t="shared" ref="B28:B43" si="7">B27+1</f>
        <v>13</v>
      </c>
      <c r="C28" s="167" t="str">
        <f>VLOOKUP(B28,'[1]Bo phan'!$B$5:$C$25,2,0)</f>
        <v>Bộ phận Logistic - Quản lý</v>
      </c>
      <c r="D28" s="84" t="str">
        <f t="shared" si="4"/>
        <v>2013</v>
      </c>
      <c r="E28" s="85" t="str">
        <f t="shared" si="6"/>
        <v>NTR.Bộ phận Logistic - Quản lý</v>
      </c>
      <c r="F28" s="86"/>
      <c r="G28" s="86">
        <v>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84">
        <f t="shared" si="5"/>
        <v>20</v>
      </c>
      <c r="B29" s="84">
        <f t="shared" si="7"/>
        <v>14</v>
      </c>
      <c r="C29" s="167" t="str">
        <f>VLOOKUP(B29,'[1]Bo phan'!$B$5:$C$25,2,0)</f>
        <v>Bộ phận Logistic - Kho</v>
      </c>
      <c r="D29" s="84" t="str">
        <f t="shared" si="4"/>
        <v>2014</v>
      </c>
      <c r="E29" s="85" t="str">
        <f t="shared" si="6"/>
        <v>NTR.Bộ phận Logistic - Kho</v>
      </c>
      <c r="F29" s="86"/>
      <c r="G29" s="86">
        <v>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84">
        <f t="shared" si="5"/>
        <v>20</v>
      </c>
      <c r="B30" s="84">
        <f t="shared" si="7"/>
        <v>15</v>
      </c>
      <c r="C30" s="167" t="str">
        <f>VLOOKUP(B30,'[1]Bo phan'!$B$5:$C$25,2,0)</f>
        <v>Bộ phận Logistic - Giao nhận</v>
      </c>
      <c r="D30" s="84" t="str">
        <f t="shared" si="4"/>
        <v>2015</v>
      </c>
      <c r="E30" s="85" t="str">
        <f t="shared" si="6"/>
        <v>NTR.Bộ phận Logistic - Giao nhận</v>
      </c>
      <c r="F30" s="86"/>
      <c r="G30" s="86">
        <v>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84">
        <f t="shared" si="5"/>
        <v>20</v>
      </c>
      <c r="B31" s="84">
        <f t="shared" si="7"/>
        <v>16</v>
      </c>
      <c r="C31" s="167" t="str">
        <f>VLOOKUP(B31,'[1]Bo phan'!$B$5:$C$25,2,0)</f>
        <v>Bộ phận Marketing</v>
      </c>
      <c r="D31" s="84" t="str">
        <f t="shared" si="4"/>
        <v>2016</v>
      </c>
      <c r="E31" s="85" t="str">
        <f t="shared" si="6"/>
        <v>NTR.Bộ phận Marketing</v>
      </c>
      <c r="F31" s="86"/>
      <c r="G31" s="86">
        <v>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>
      <c r="A32" s="84">
        <f t="shared" si="5"/>
        <v>20</v>
      </c>
      <c r="B32" s="84">
        <f t="shared" si="7"/>
        <v>17</v>
      </c>
      <c r="C32" s="167" t="str">
        <f>VLOOKUP(B32,'[1]Bo phan'!$B$5:$C$25,2,0)</f>
        <v>Bộ phận Trade Marketing</v>
      </c>
      <c r="D32" s="84" t="str">
        <f t="shared" si="4"/>
        <v>2017</v>
      </c>
      <c r="E32" s="85" t="str">
        <f t="shared" si="6"/>
        <v>NTR.Bộ phận Trade Marketing</v>
      </c>
      <c r="F32" s="86"/>
      <c r="G32" s="86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>
      <c r="A33" s="84">
        <f t="shared" si="5"/>
        <v>20</v>
      </c>
      <c r="B33" s="84">
        <f t="shared" si="7"/>
        <v>18</v>
      </c>
      <c r="C33" s="167" t="str">
        <f>VLOOKUP(B33,'[1]Bo phan'!$B$5:$C$25,2,0)</f>
        <v>Bộ phận Tài chính - Kế toán</v>
      </c>
      <c r="D33" s="84" t="str">
        <f t="shared" si="4"/>
        <v>2018</v>
      </c>
      <c r="E33" s="85" t="str">
        <f t="shared" si="6"/>
        <v>NTR.Bộ phận Tài chính - Kế toán</v>
      </c>
      <c r="F33" s="86"/>
      <c r="G33" s="86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>
      <c r="A34" s="84">
        <f t="shared" si="5"/>
        <v>20</v>
      </c>
      <c r="B34" s="84">
        <f t="shared" si="7"/>
        <v>19</v>
      </c>
      <c r="C34" s="167" t="str">
        <f>VLOOKUP(B34,'[1]Bo phan'!$B$5:$C$25,2,0)</f>
        <v>Bộ phận Hành chính - Nhân sự</v>
      </c>
      <c r="D34" s="84" t="str">
        <f t="shared" si="4"/>
        <v>2019</v>
      </c>
      <c r="E34" s="85" t="str">
        <f t="shared" si="6"/>
        <v>NTR.Bộ phận Hành chính - Nhân sự</v>
      </c>
      <c r="F34" s="86"/>
      <c r="G34" s="86">
        <v>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>
      <c r="A35" s="84">
        <f t="shared" si="5"/>
        <v>20</v>
      </c>
      <c r="B35" s="84">
        <f t="shared" si="7"/>
        <v>20</v>
      </c>
      <c r="C35" s="167" t="str">
        <f>VLOOKUP(B35,'[1]Bo phan'!$B$5:$C$25,2,0)</f>
        <v>Bộ phận Kế hoạch</v>
      </c>
      <c r="D35" s="84" t="str">
        <f t="shared" si="4"/>
        <v>2020</v>
      </c>
      <c r="E35" s="85" t="str">
        <f t="shared" si="6"/>
        <v>NTR.Bộ phận Kế hoạch</v>
      </c>
      <c r="F35" s="86"/>
      <c r="G35" s="86"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>
      <c r="A36" s="84">
        <f t="shared" si="5"/>
        <v>20</v>
      </c>
      <c r="B36" s="84">
        <f t="shared" si="7"/>
        <v>21</v>
      </c>
      <c r="C36" s="167" t="str">
        <f>VLOOKUP(B36,'[1]Bo phan'!$B$5:$C$25,2,0)</f>
        <v>Bộ phận Xuất nhập khẩu</v>
      </c>
      <c r="D36" s="84" t="str">
        <f t="shared" si="4"/>
        <v>2021</v>
      </c>
      <c r="E36" s="85" t="str">
        <f t="shared" si="6"/>
        <v>NTR.Bộ phận Xuất nhập khẩu</v>
      </c>
      <c r="F36" s="86"/>
      <c r="G36" s="86">
        <v>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>
      <c r="A37" s="84">
        <f t="shared" si="5"/>
        <v>20</v>
      </c>
      <c r="B37" s="84">
        <f t="shared" si="7"/>
        <v>22</v>
      </c>
      <c r="C37" s="167" t="str">
        <f>VLOOKUP(B37,'[1]Bo phan'!$B$5:$C$25,2,0)</f>
        <v>Bộ phận Sourcing</v>
      </c>
      <c r="D37" s="84" t="str">
        <f t="shared" si="4"/>
        <v>2022</v>
      </c>
      <c r="E37" s="85" t="str">
        <f t="shared" si="6"/>
        <v>NTR.Bộ phận Sourcing</v>
      </c>
      <c r="F37" s="86"/>
      <c r="G37" s="86">
        <v>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84">
        <f t="shared" si="5"/>
        <v>20</v>
      </c>
      <c r="B38" s="84">
        <f t="shared" si="7"/>
        <v>23</v>
      </c>
      <c r="C38" s="167" t="str">
        <f>VLOOKUP(B38,'[1]Bo phan'!$B$5:$C$25,2,0)</f>
        <v>Bộ phận Mua hàng</v>
      </c>
      <c r="D38" s="84" t="str">
        <f t="shared" si="4"/>
        <v>2023</v>
      </c>
      <c r="E38" s="85" t="str">
        <f t="shared" si="6"/>
        <v>NTR.Bộ phận Mua hàng</v>
      </c>
      <c r="F38" s="86"/>
      <c r="G38" s="86"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>
      <c r="A39" s="84">
        <f t="shared" si="5"/>
        <v>20</v>
      </c>
      <c r="B39" s="84">
        <f t="shared" si="7"/>
        <v>24</v>
      </c>
      <c r="C39" s="167" t="str">
        <f>VLOOKUP(B39,'[1]Bo phan'!$B$5:$C$25,2,0)</f>
        <v>Bộ phận Công nghệ thông tin</v>
      </c>
      <c r="D39" s="84" t="str">
        <f t="shared" si="4"/>
        <v>2024</v>
      </c>
      <c r="E39" s="85" t="str">
        <f t="shared" si="6"/>
        <v>NTR.Bộ phận Công nghệ thông tin</v>
      </c>
      <c r="F39" s="86"/>
      <c r="G39" s="86"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75" customHeight="1">
      <c r="A40" s="84">
        <f t="shared" si="5"/>
        <v>20</v>
      </c>
      <c r="B40" s="84">
        <f t="shared" si="7"/>
        <v>25</v>
      </c>
      <c r="C40" s="167" t="str">
        <f>VLOOKUP(B40,'[1]Bo phan'!$B$5:$C$25,2,0)</f>
        <v>Bộ phận Nghiên cứu phát triển</v>
      </c>
      <c r="D40" s="84" t="str">
        <f t="shared" si="4"/>
        <v>2025</v>
      </c>
      <c r="E40" s="85" t="str">
        <f t="shared" si="6"/>
        <v>NTR.Bộ phận Nghiên cứu phát triển</v>
      </c>
      <c r="F40" s="86"/>
      <c r="G40" s="86"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75" customHeight="1">
      <c r="A41" s="84">
        <f t="shared" si="5"/>
        <v>20</v>
      </c>
      <c r="B41" s="84">
        <f t="shared" si="7"/>
        <v>26</v>
      </c>
      <c r="C41" s="167" t="str">
        <f>VLOOKUP(B41,'[1]Bo phan'!$B$5:$C$25,2,0)</f>
        <v>Bộ phận Bảo trì - Kỹ thuật - Cơ điện</v>
      </c>
      <c r="D41" s="84" t="str">
        <f t="shared" si="4"/>
        <v>2026</v>
      </c>
      <c r="E41" s="85" t="str">
        <f t="shared" si="6"/>
        <v>NTR.Bộ phận Bảo trì - Kỹ thuật - Cơ điện</v>
      </c>
      <c r="F41" s="86"/>
      <c r="G41" s="86">
        <v>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.75" customHeight="1">
      <c r="A42" s="84">
        <f t="shared" si="5"/>
        <v>20</v>
      </c>
      <c r="B42" s="84">
        <f t="shared" si="7"/>
        <v>27</v>
      </c>
      <c r="C42" s="167" t="str">
        <f>VLOOKUP(B42,'[1]Bo phan'!$B$5:$C$25,2,0)</f>
        <v>Bộ phận QA-QC-ATTP-LAB</v>
      </c>
      <c r="D42" s="84" t="str">
        <f t="shared" si="4"/>
        <v>2027</v>
      </c>
      <c r="E42" s="85" t="str">
        <f t="shared" si="6"/>
        <v>NTR.Bộ phận QA-QC-ATTP-LAB</v>
      </c>
      <c r="F42" s="86"/>
      <c r="G42" s="86"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75" customHeight="1">
      <c r="A43" s="84">
        <f t="shared" si="5"/>
        <v>20</v>
      </c>
      <c r="B43" s="84">
        <f t="shared" si="7"/>
        <v>28</v>
      </c>
      <c r="C43" s="167" t="str">
        <f>VLOOKUP(B43,'[1]Bo phan'!$B$5:$C$25,2,0)</f>
        <v>Bộ phận chung</v>
      </c>
      <c r="D43" s="84" t="str">
        <f t="shared" si="4"/>
        <v>2028</v>
      </c>
      <c r="E43" s="85" t="str">
        <f t="shared" si="6"/>
        <v>NTR.Bộ phận chung</v>
      </c>
      <c r="F43" s="86"/>
      <c r="G43" s="86"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>
      <c r="A44" s="81">
        <v>30</v>
      </c>
      <c r="B44" s="81"/>
      <c r="C44" s="81"/>
      <c r="D44" s="81">
        <v>3000</v>
      </c>
      <c r="E44" s="82" t="s">
        <v>681</v>
      </c>
      <c r="F44" s="83" t="s">
        <v>30</v>
      </c>
      <c r="G44" s="83">
        <v>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75" customHeight="1">
      <c r="A45" s="84">
        <f>$A$44</f>
        <v>30</v>
      </c>
      <c r="B45" s="84">
        <v>11</v>
      </c>
      <c r="C45" s="167" t="str">
        <f>VLOOKUP(B45,'[1]Bo phan'!$B$5:$C$25,2,0)</f>
        <v>Bộ phận Ban Điều hành</v>
      </c>
      <c r="D45" s="84" t="str">
        <f t="shared" ref="D45:D62" si="8">A45&amp;B45</f>
        <v>3011</v>
      </c>
      <c r="E45" s="10" t="str">
        <f>"DLA."&amp;C45</f>
        <v>DLA.Bộ phận Ban Điều hành</v>
      </c>
      <c r="F45" s="5"/>
      <c r="G45" s="86"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>
      <c r="A46" s="84">
        <f t="shared" ref="A46:A62" si="9">$A$44</f>
        <v>30</v>
      </c>
      <c r="B46" s="84">
        <f t="shared" ref="B46:B62" si="10">B45+1</f>
        <v>12</v>
      </c>
      <c r="C46" s="167" t="str">
        <f>VLOOKUP(B46,'[1]Bo phan'!$B$5:$C$25,2,0)</f>
        <v>Bộ phận Kinh doanh</v>
      </c>
      <c r="D46" s="84" t="str">
        <f t="shared" si="8"/>
        <v>3012</v>
      </c>
      <c r="E46" s="10" t="str">
        <f t="shared" ref="E46:E62" si="11">"DLA."&amp;C46</f>
        <v>DLA.Bộ phận Kinh doanh</v>
      </c>
      <c r="F46" s="5"/>
      <c r="G46" s="86">
        <v>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>
      <c r="A47" s="84">
        <f t="shared" si="9"/>
        <v>30</v>
      </c>
      <c r="B47" s="84">
        <f t="shared" si="10"/>
        <v>13</v>
      </c>
      <c r="C47" s="167" t="str">
        <f>VLOOKUP(B47,'[1]Bo phan'!$B$5:$C$25,2,0)</f>
        <v>Bộ phận Logistic - Quản lý</v>
      </c>
      <c r="D47" s="84" t="str">
        <f t="shared" si="8"/>
        <v>3013</v>
      </c>
      <c r="E47" s="10" t="str">
        <f t="shared" si="11"/>
        <v>DLA.Bộ phận Logistic - Quản lý</v>
      </c>
      <c r="F47" s="5"/>
      <c r="G47" s="86">
        <v>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>
      <c r="A48" s="84">
        <f t="shared" si="9"/>
        <v>30</v>
      </c>
      <c r="B48" s="84">
        <f t="shared" si="10"/>
        <v>14</v>
      </c>
      <c r="C48" s="167" t="str">
        <f>VLOOKUP(B48,'[1]Bo phan'!$B$5:$C$25,2,0)</f>
        <v>Bộ phận Logistic - Kho</v>
      </c>
      <c r="D48" s="84" t="str">
        <f t="shared" si="8"/>
        <v>3014</v>
      </c>
      <c r="E48" s="10" t="str">
        <f t="shared" si="11"/>
        <v>DLA.Bộ phận Logistic - Kho</v>
      </c>
      <c r="F48" s="5"/>
      <c r="G48" s="86"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>
      <c r="A49" s="84">
        <f t="shared" si="9"/>
        <v>30</v>
      </c>
      <c r="B49" s="84">
        <f t="shared" si="10"/>
        <v>15</v>
      </c>
      <c r="C49" s="167" t="str">
        <f>VLOOKUP(B49,'[1]Bo phan'!$B$5:$C$25,2,0)</f>
        <v>Bộ phận Logistic - Giao nhận</v>
      </c>
      <c r="D49" s="84" t="str">
        <f t="shared" si="8"/>
        <v>3015</v>
      </c>
      <c r="E49" s="10" t="str">
        <f t="shared" si="11"/>
        <v>DLA.Bộ phận Logistic - Giao nhận</v>
      </c>
      <c r="F49" s="5"/>
      <c r="G49" s="86"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>
      <c r="A50" s="84">
        <f t="shared" si="9"/>
        <v>30</v>
      </c>
      <c r="B50" s="84">
        <f t="shared" si="10"/>
        <v>16</v>
      </c>
      <c r="C50" s="167" t="str">
        <f>VLOOKUP(B50,'[1]Bo phan'!$B$5:$C$25,2,0)</f>
        <v>Bộ phận Marketing</v>
      </c>
      <c r="D50" s="84" t="str">
        <f t="shared" si="8"/>
        <v>3016</v>
      </c>
      <c r="E50" s="10" t="str">
        <f t="shared" si="11"/>
        <v>DLA.Bộ phận Marketing</v>
      </c>
      <c r="F50" s="5"/>
      <c r="G50" s="86">
        <v>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>
      <c r="A51" s="84">
        <f t="shared" si="9"/>
        <v>30</v>
      </c>
      <c r="B51" s="84">
        <f t="shared" si="10"/>
        <v>17</v>
      </c>
      <c r="C51" s="167" t="str">
        <f>VLOOKUP(B51,'[1]Bo phan'!$B$5:$C$25,2,0)</f>
        <v>Bộ phận Trade Marketing</v>
      </c>
      <c r="D51" s="84" t="str">
        <f t="shared" si="8"/>
        <v>3017</v>
      </c>
      <c r="E51" s="10" t="str">
        <f>"DLA."&amp;C51</f>
        <v>DLA.Bộ phận Trade Marketing</v>
      </c>
      <c r="F51" s="5"/>
      <c r="G51" s="86">
        <v>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>
      <c r="A52" s="84">
        <f t="shared" si="9"/>
        <v>30</v>
      </c>
      <c r="B52" s="84">
        <f t="shared" si="10"/>
        <v>18</v>
      </c>
      <c r="C52" s="167" t="str">
        <f>VLOOKUP(B52,'[1]Bo phan'!$B$5:$C$25,2,0)</f>
        <v>Bộ phận Tài chính - Kế toán</v>
      </c>
      <c r="D52" s="84" t="str">
        <f t="shared" si="8"/>
        <v>3018</v>
      </c>
      <c r="E52" s="10" t="str">
        <f t="shared" si="11"/>
        <v>DLA.Bộ phận Tài chính - Kế toán</v>
      </c>
      <c r="F52" s="5"/>
      <c r="G52" s="86"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>
      <c r="A53" s="84">
        <f t="shared" si="9"/>
        <v>30</v>
      </c>
      <c r="B53" s="84">
        <f t="shared" si="10"/>
        <v>19</v>
      </c>
      <c r="C53" s="167" t="str">
        <f>VLOOKUP(B53,'[1]Bo phan'!$B$5:$C$25,2,0)</f>
        <v>Bộ phận Hành chính - Nhân sự</v>
      </c>
      <c r="D53" s="84" t="str">
        <f t="shared" si="8"/>
        <v>3019</v>
      </c>
      <c r="E53" s="10" t="str">
        <f t="shared" si="11"/>
        <v>DLA.Bộ phận Hành chính - Nhân sự</v>
      </c>
      <c r="F53" s="5"/>
      <c r="G53" s="86"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>
      <c r="A54" s="84">
        <f t="shared" si="9"/>
        <v>30</v>
      </c>
      <c r="B54" s="84">
        <f t="shared" si="10"/>
        <v>20</v>
      </c>
      <c r="C54" s="167" t="str">
        <f>VLOOKUP(B54,'[1]Bo phan'!$B$5:$C$25,2,0)</f>
        <v>Bộ phận Kế hoạch</v>
      </c>
      <c r="D54" s="84" t="str">
        <f t="shared" si="8"/>
        <v>3020</v>
      </c>
      <c r="E54" s="10" t="str">
        <f t="shared" si="11"/>
        <v>DLA.Bộ phận Kế hoạch</v>
      </c>
      <c r="F54" s="5"/>
      <c r="G54" s="86">
        <v>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>
      <c r="A55" s="84">
        <f t="shared" si="9"/>
        <v>30</v>
      </c>
      <c r="B55" s="84">
        <f t="shared" si="10"/>
        <v>21</v>
      </c>
      <c r="C55" s="167" t="str">
        <f>VLOOKUP(B55,'[1]Bo phan'!$B$5:$C$25,2,0)</f>
        <v>Bộ phận Xuất nhập khẩu</v>
      </c>
      <c r="D55" s="84" t="str">
        <f t="shared" si="8"/>
        <v>3021</v>
      </c>
      <c r="E55" s="10" t="str">
        <f t="shared" si="11"/>
        <v>DLA.Bộ phận Xuất nhập khẩu</v>
      </c>
      <c r="F55" s="5"/>
      <c r="G55" s="86">
        <v>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>
      <c r="A56" s="84">
        <f t="shared" si="9"/>
        <v>30</v>
      </c>
      <c r="B56" s="84">
        <f t="shared" si="10"/>
        <v>22</v>
      </c>
      <c r="C56" s="167" t="str">
        <f>VLOOKUP(B56,'[1]Bo phan'!$B$5:$C$25,2,0)</f>
        <v>Bộ phận Sourcing</v>
      </c>
      <c r="D56" s="84" t="str">
        <f t="shared" si="8"/>
        <v>3022</v>
      </c>
      <c r="E56" s="10" t="str">
        <f t="shared" si="11"/>
        <v>DLA.Bộ phận Sourcing</v>
      </c>
      <c r="F56" s="5"/>
      <c r="G56" s="86">
        <v>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>
      <c r="A57" s="84">
        <f t="shared" si="9"/>
        <v>30</v>
      </c>
      <c r="B57" s="84">
        <f t="shared" si="10"/>
        <v>23</v>
      </c>
      <c r="C57" s="167" t="str">
        <f>VLOOKUP(B57,'[1]Bo phan'!$B$5:$C$25,2,0)</f>
        <v>Bộ phận Mua hàng</v>
      </c>
      <c r="D57" s="84" t="str">
        <f t="shared" si="8"/>
        <v>3023</v>
      </c>
      <c r="E57" s="10" t="str">
        <f t="shared" si="11"/>
        <v>DLA.Bộ phận Mua hàng</v>
      </c>
      <c r="F57" s="5"/>
      <c r="G57" s="86">
        <v>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>
      <c r="A58" s="84">
        <f t="shared" si="9"/>
        <v>30</v>
      </c>
      <c r="B58" s="84">
        <f t="shared" si="10"/>
        <v>24</v>
      </c>
      <c r="C58" s="167" t="str">
        <f>VLOOKUP(B58,'[1]Bo phan'!$B$5:$C$25,2,0)</f>
        <v>Bộ phận Công nghệ thông tin</v>
      </c>
      <c r="D58" s="84" t="str">
        <f t="shared" si="8"/>
        <v>3024</v>
      </c>
      <c r="E58" s="10" t="str">
        <f t="shared" si="11"/>
        <v>DLA.Bộ phận Công nghệ thông tin</v>
      </c>
      <c r="F58" s="5"/>
      <c r="G58" s="86">
        <v>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>
      <c r="A59" s="84">
        <f t="shared" si="9"/>
        <v>30</v>
      </c>
      <c r="B59" s="84">
        <f t="shared" si="10"/>
        <v>25</v>
      </c>
      <c r="C59" s="167" t="str">
        <f>VLOOKUP(B59,'[1]Bo phan'!$B$5:$C$25,2,0)</f>
        <v>Bộ phận Nghiên cứu phát triển</v>
      </c>
      <c r="D59" s="84" t="str">
        <f t="shared" si="8"/>
        <v>3025</v>
      </c>
      <c r="E59" s="10" t="str">
        <f t="shared" si="11"/>
        <v>DLA.Bộ phận Nghiên cứu phát triển</v>
      </c>
      <c r="F59" s="5"/>
      <c r="G59" s="86">
        <v>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75" customHeight="1">
      <c r="A60" s="84">
        <f t="shared" si="9"/>
        <v>30</v>
      </c>
      <c r="B60" s="84">
        <f t="shared" si="10"/>
        <v>26</v>
      </c>
      <c r="C60" s="167" t="str">
        <f>VLOOKUP(B60,'[1]Bo phan'!$B$5:$C$25,2,0)</f>
        <v>Bộ phận Bảo trì - Kỹ thuật - Cơ điện</v>
      </c>
      <c r="D60" s="84" t="str">
        <f t="shared" si="8"/>
        <v>3026</v>
      </c>
      <c r="E60" s="10" t="str">
        <f t="shared" si="11"/>
        <v>DLA.Bộ phận Bảo trì - Kỹ thuật - Cơ điện</v>
      </c>
      <c r="F60" s="5"/>
      <c r="G60" s="86">
        <v>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75" customHeight="1">
      <c r="A61" s="84">
        <f t="shared" si="9"/>
        <v>30</v>
      </c>
      <c r="B61" s="84">
        <f t="shared" si="10"/>
        <v>27</v>
      </c>
      <c r="C61" s="167" t="str">
        <f>VLOOKUP(B61,'[1]Bo phan'!$B$5:$C$25,2,0)</f>
        <v>Bộ phận QA-QC-ATTP-LAB</v>
      </c>
      <c r="D61" s="84" t="str">
        <f t="shared" si="8"/>
        <v>3027</v>
      </c>
      <c r="E61" s="10" t="str">
        <f t="shared" si="11"/>
        <v>DLA.Bộ phận QA-QC-ATTP-LAB</v>
      </c>
      <c r="F61" s="5"/>
      <c r="G61" s="86">
        <v>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.75" customHeight="1">
      <c r="A62" s="84">
        <f t="shared" si="9"/>
        <v>30</v>
      </c>
      <c r="B62" s="84">
        <f t="shared" si="10"/>
        <v>28</v>
      </c>
      <c r="C62" s="167" t="str">
        <f>VLOOKUP(B62,'[1]Bo phan'!$B$5:$C$25,2,0)</f>
        <v>Bộ phận chung</v>
      </c>
      <c r="D62" s="84" t="str">
        <f t="shared" si="8"/>
        <v>3028</v>
      </c>
      <c r="E62" s="10" t="str">
        <f t="shared" si="11"/>
        <v>DLA.Bộ phận chung</v>
      </c>
      <c r="F62" s="5"/>
      <c r="G62" s="86">
        <v>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.75" customHeight="1">
      <c r="A63" s="81">
        <v>40</v>
      </c>
      <c r="B63" s="81"/>
      <c r="C63" s="81"/>
      <c r="D63" s="81">
        <v>4000</v>
      </c>
      <c r="E63" s="82" t="s">
        <v>682</v>
      </c>
      <c r="F63" s="83" t="s">
        <v>30</v>
      </c>
      <c r="G63" s="83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.75" customHeight="1">
      <c r="A64" s="84">
        <f>$A$63</f>
        <v>40</v>
      </c>
      <c r="B64" s="84">
        <v>11</v>
      </c>
      <c r="C64" s="167" t="str">
        <f>VLOOKUP(B64,'[1]Bo phan'!$B$5:$C$25,2,0)</f>
        <v>Bộ phận Ban Điều hành</v>
      </c>
      <c r="D64" s="84" t="str">
        <f t="shared" ref="D64:D81" si="12">A64&amp;B64</f>
        <v>4011</v>
      </c>
      <c r="E64" s="85" t="str">
        <f>"DNG."&amp;C64</f>
        <v>DNG.Bộ phận Ban Điều hành</v>
      </c>
      <c r="F64" s="86"/>
      <c r="G64" s="86">
        <v>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.75" customHeight="1">
      <c r="A65" s="84">
        <f t="shared" ref="A65:A81" si="13">$A$63</f>
        <v>40</v>
      </c>
      <c r="B65" s="84">
        <f t="shared" ref="B65:B81" si="14">B64+1</f>
        <v>12</v>
      </c>
      <c r="C65" s="167" t="str">
        <f>VLOOKUP(B65,'[1]Bo phan'!$B$5:$C$25,2,0)</f>
        <v>Bộ phận Kinh doanh</v>
      </c>
      <c r="D65" s="84" t="str">
        <f t="shared" si="12"/>
        <v>4012</v>
      </c>
      <c r="E65" s="85" t="str">
        <f t="shared" ref="E65:E81" si="15">"DNG."&amp;C65</f>
        <v>DNG.Bộ phận Kinh doanh</v>
      </c>
      <c r="F65" s="86"/>
      <c r="G65" s="86">
        <v>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.75" customHeight="1">
      <c r="A66" s="84">
        <f t="shared" si="13"/>
        <v>40</v>
      </c>
      <c r="B66" s="84">
        <f t="shared" si="14"/>
        <v>13</v>
      </c>
      <c r="C66" s="167" t="str">
        <f>VLOOKUP(B66,'[1]Bo phan'!$B$5:$C$25,2,0)</f>
        <v>Bộ phận Logistic - Quản lý</v>
      </c>
      <c r="D66" s="84" t="str">
        <f t="shared" si="12"/>
        <v>4013</v>
      </c>
      <c r="E66" s="85" t="str">
        <f t="shared" si="15"/>
        <v>DNG.Bộ phận Logistic - Quản lý</v>
      </c>
      <c r="F66" s="86"/>
      <c r="G66" s="86">
        <v>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.75" customHeight="1">
      <c r="A67" s="84">
        <f t="shared" si="13"/>
        <v>40</v>
      </c>
      <c r="B67" s="84">
        <f t="shared" si="14"/>
        <v>14</v>
      </c>
      <c r="C67" s="167" t="str">
        <f>VLOOKUP(B67,'[1]Bo phan'!$B$5:$C$25,2,0)</f>
        <v>Bộ phận Logistic - Kho</v>
      </c>
      <c r="D67" s="84" t="str">
        <f t="shared" si="12"/>
        <v>4014</v>
      </c>
      <c r="E67" s="85" t="str">
        <f t="shared" si="15"/>
        <v>DNG.Bộ phận Logistic - Kho</v>
      </c>
      <c r="F67" s="86"/>
      <c r="G67" s="86">
        <v>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.75" customHeight="1">
      <c r="A68" s="84">
        <f t="shared" si="13"/>
        <v>40</v>
      </c>
      <c r="B68" s="84">
        <f t="shared" si="14"/>
        <v>15</v>
      </c>
      <c r="C68" s="167" t="str">
        <f>VLOOKUP(B68,'[1]Bo phan'!$B$5:$C$25,2,0)</f>
        <v>Bộ phận Logistic - Giao nhận</v>
      </c>
      <c r="D68" s="84" t="str">
        <f t="shared" si="12"/>
        <v>4015</v>
      </c>
      <c r="E68" s="85" t="str">
        <f t="shared" si="15"/>
        <v>DNG.Bộ phận Logistic - Giao nhận</v>
      </c>
      <c r="F68" s="86"/>
      <c r="G68" s="86">
        <v>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.75" customHeight="1">
      <c r="A69" s="84">
        <f t="shared" si="13"/>
        <v>40</v>
      </c>
      <c r="B69" s="84">
        <f t="shared" si="14"/>
        <v>16</v>
      </c>
      <c r="C69" s="167" t="str">
        <f>VLOOKUP(B69,'[1]Bo phan'!$B$5:$C$25,2,0)</f>
        <v>Bộ phận Marketing</v>
      </c>
      <c r="D69" s="84" t="str">
        <f t="shared" si="12"/>
        <v>4016</v>
      </c>
      <c r="E69" s="85" t="str">
        <f t="shared" si="15"/>
        <v>DNG.Bộ phận Marketing</v>
      </c>
      <c r="F69" s="86"/>
      <c r="G69" s="86">
        <v>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.75" customHeight="1">
      <c r="A70" s="84">
        <f t="shared" si="13"/>
        <v>40</v>
      </c>
      <c r="B70" s="84">
        <f t="shared" si="14"/>
        <v>17</v>
      </c>
      <c r="C70" s="167" t="str">
        <f>VLOOKUP(B70,'[1]Bo phan'!$B$5:$C$25,2,0)</f>
        <v>Bộ phận Trade Marketing</v>
      </c>
      <c r="D70" s="84" t="str">
        <f t="shared" si="12"/>
        <v>4017</v>
      </c>
      <c r="E70" s="85" t="str">
        <f t="shared" si="15"/>
        <v>DNG.Bộ phận Trade Marketing</v>
      </c>
      <c r="F70" s="86"/>
      <c r="G70" s="86">
        <v>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.75" customHeight="1">
      <c r="A71" s="84">
        <f t="shared" si="13"/>
        <v>40</v>
      </c>
      <c r="B71" s="84">
        <f t="shared" si="14"/>
        <v>18</v>
      </c>
      <c r="C71" s="167" t="str">
        <f>VLOOKUP(B71,'[1]Bo phan'!$B$5:$C$25,2,0)</f>
        <v>Bộ phận Tài chính - Kế toán</v>
      </c>
      <c r="D71" s="84" t="str">
        <f t="shared" si="12"/>
        <v>4018</v>
      </c>
      <c r="E71" s="85" t="str">
        <f t="shared" si="15"/>
        <v>DNG.Bộ phận Tài chính - Kế toán</v>
      </c>
      <c r="F71" s="86"/>
      <c r="G71" s="86">
        <v>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.75" customHeight="1">
      <c r="A72" s="84">
        <f t="shared" si="13"/>
        <v>40</v>
      </c>
      <c r="B72" s="84">
        <f t="shared" si="14"/>
        <v>19</v>
      </c>
      <c r="C72" s="167" t="str">
        <f>VLOOKUP(B72,'[1]Bo phan'!$B$5:$C$25,2,0)</f>
        <v>Bộ phận Hành chính - Nhân sự</v>
      </c>
      <c r="D72" s="84" t="str">
        <f t="shared" si="12"/>
        <v>4019</v>
      </c>
      <c r="E72" s="85" t="str">
        <f t="shared" si="15"/>
        <v>DNG.Bộ phận Hành chính - Nhân sự</v>
      </c>
      <c r="F72" s="86"/>
      <c r="G72" s="86">
        <v>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75" customHeight="1">
      <c r="A73" s="84">
        <f t="shared" si="13"/>
        <v>40</v>
      </c>
      <c r="B73" s="84">
        <f t="shared" si="14"/>
        <v>20</v>
      </c>
      <c r="C73" s="167" t="str">
        <f>VLOOKUP(B73,'[1]Bo phan'!$B$5:$C$25,2,0)</f>
        <v>Bộ phận Kế hoạch</v>
      </c>
      <c r="D73" s="84" t="str">
        <f t="shared" si="12"/>
        <v>4020</v>
      </c>
      <c r="E73" s="85" t="str">
        <f t="shared" si="15"/>
        <v>DNG.Bộ phận Kế hoạch</v>
      </c>
      <c r="F73" s="86"/>
      <c r="G73" s="86">
        <v>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.75" customHeight="1">
      <c r="A74" s="84">
        <f t="shared" si="13"/>
        <v>40</v>
      </c>
      <c r="B74" s="84">
        <f t="shared" si="14"/>
        <v>21</v>
      </c>
      <c r="C74" s="167" t="str">
        <f>VLOOKUP(B74,'[1]Bo phan'!$B$5:$C$25,2,0)</f>
        <v>Bộ phận Xuất nhập khẩu</v>
      </c>
      <c r="D74" s="84" t="str">
        <f t="shared" si="12"/>
        <v>4021</v>
      </c>
      <c r="E74" s="85" t="str">
        <f t="shared" si="15"/>
        <v>DNG.Bộ phận Xuất nhập khẩu</v>
      </c>
      <c r="F74" s="86"/>
      <c r="G74" s="86">
        <v>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customHeight="1">
      <c r="A75" s="84">
        <f t="shared" si="13"/>
        <v>40</v>
      </c>
      <c r="B75" s="84">
        <f t="shared" si="14"/>
        <v>22</v>
      </c>
      <c r="C75" s="167" t="str">
        <f>VLOOKUP(B75,'[1]Bo phan'!$B$5:$C$25,2,0)</f>
        <v>Bộ phận Sourcing</v>
      </c>
      <c r="D75" s="84" t="str">
        <f t="shared" si="12"/>
        <v>4022</v>
      </c>
      <c r="E75" s="85" t="str">
        <f t="shared" si="15"/>
        <v>DNG.Bộ phận Sourcing</v>
      </c>
      <c r="F75" s="86"/>
      <c r="G75" s="86">
        <v>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customHeight="1">
      <c r="A76" s="84">
        <f t="shared" si="13"/>
        <v>40</v>
      </c>
      <c r="B76" s="84">
        <f t="shared" si="14"/>
        <v>23</v>
      </c>
      <c r="C76" s="167" t="str">
        <f>VLOOKUP(B76,'[1]Bo phan'!$B$5:$C$25,2,0)</f>
        <v>Bộ phận Mua hàng</v>
      </c>
      <c r="D76" s="84" t="str">
        <f t="shared" si="12"/>
        <v>4023</v>
      </c>
      <c r="E76" s="85" t="str">
        <f t="shared" si="15"/>
        <v>DNG.Bộ phận Mua hàng</v>
      </c>
      <c r="F76" s="86"/>
      <c r="G76" s="86">
        <v>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customHeight="1">
      <c r="A77" s="84">
        <f t="shared" si="13"/>
        <v>40</v>
      </c>
      <c r="B77" s="84">
        <f t="shared" si="14"/>
        <v>24</v>
      </c>
      <c r="C77" s="167" t="str">
        <f>VLOOKUP(B77,'[1]Bo phan'!$B$5:$C$25,2,0)</f>
        <v>Bộ phận Công nghệ thông tin</v>
      </c>
      <c r="D77" s="84" t="str">
        <f t="shared" si="12"/>
        <v>4024</v>
      </c>
      <c r="E77" s="85" t="str">
        <f t="shared" si="15"/>
        <v>DNG.Bộ phận Công nghệ thông tin</v>
      </c>
      <c r="F77" s="86"/>
      <c r="G77" s="86">
        <v>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>
      <c r="A78" s="84">
        <f t="shared" si="13"/>
        <v>40</v>
      </c>
      <c r="B78" s="84">
        <f t="shared" si="14"/>
        <v>25</v>
      </c>
      <c r="C78" s="167" t="str">
        <f>VLOOKUP(B78,'[1]Bo phan'!$B$5:$C$25,2,0)</f>
        <v>Bộ phận Nghiên cứu phát triển</v>
      </c>
      <c r="D78" s="84" t="str">
        <f t="shared" si="12"/>
        <v>4025</v>
      </c>
      <c r="E78" s="85" t="str">
        <f t="shared" si="15"/>
        <v>DNG.Bộ phận Nghiên cứu phát triển</v>
      </c>
      <c r="F78" s="86"/>
      <c r="G78" s="86">
        <v>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>
      <c r="A79" s="84">
        <f t="shared" si="13"/>
        <v>40</v>
      </c>
      <c r="B79" s="84">
        <f t="shared" si="14"/>
        <v>26</v>
      </c>
      <c r="C79" s="167" t="str">
        <f>VLOOKUP(B79,'[1]Bo phan'!$B$5:$C$25,2,0)</f>
        <v>Bộ phận Bảo trì - Kỹ thuật - Cơ điện</v>
      </c>
      <c r="D79" s="84" t="str">
        <f t="shared" si="12"/>
        <v>4026</v>
      </c>
      <c r="E79" s="85" t="str">
        <f t="shared" si="15"/>
        <v>DNG.Bộ phận Bảo trì - Kỹ thuật - Cơ điện</v>
      </c>
      <c r="F79" s="86"/>
      <c r="G79" s="86">
        <v>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>
      <c r="A80" s="84">
        <f t="shared" si="13"/>
        <v>40</v>
      </c>
      <c r="B80" s="84">
        <f t="shared" si="14"/>
        <v>27</v>
      </c>
      <c r="C80" s="167" t="str">
        <f>VLOOKUP(B80,'[1]Bo phan'!$B$5:$C$25,2,0)</f>
        <v>Bộ phận QA-QC-ATTP-LAB</v>
      </c>
      <c r="D80" s="84" t="str">
        <f t="shared" si="12"/>
        <v>4027</v>
      </c>
      <c r="E80" s="85" t="str">
        <f t="shared" si="15"/>
        <v>DNG.Bộ phận QA-QC-ATTP-LAB</v>
      </c>
      <c r="F80" s="86"/>
      <c r="G80" s="86">
        <v>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>
      <c r="A81" s="84">
        <f t="shared" si="13"/>
        <v>40</v>
      </c>
      <c r="B81" s="84">
        <f t="shared" si="14"/>
        <v>28</v>
      </c>
      <c r="C81" s="167" t="str">
        <f>VLOOKUP(B81,'[1]Bo phan'!$B$5:$C$25,2,0)</f>
        <v>Bộ phận chung</v>
      </c>
      <c r="D81" s="84" t="str">
        <f t="shared" si="12"/>
        <v>4028</v>
      </c>
      <c r="E81" s="85" t="str">
        <f t="shared" si="15"/>
        <v>DNG.Bộ phận chung</v>
      </c>
      <c r="F81" s="86"/>
      <c r="G81" s="86">
        <v>2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>
      <c r="A82" s="81">
        <v>50</v>
      </c>
      <c r="B82" s="81"/>
      <c r="C82" s="81"/>
      <c r="D82" s="81">
        <v>5000</v>
      </c>
      <c r="E82" s="82" t="s">
        <v>683</v>
      </c>
      <c r="F82" s="83" t="s">
        <v>30</v>
      </c>
      <c r="G82" s="83">
        <v>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>
      <c r="A83" s="84">
        <f>$A$82</f>
        <v>50</v>
      </c>
      <c r="B83" s="84">
        <v>11</v>
      </c>
      <c r="C83" s="167" t="str">
        <f>VLOOKUP(B83,'[1]Bo phan'!$B$5:$C$25,2,0)</f>
        <v>Bộ phận Ban Điều hành</v>
      </c>
      <c r="D83" s="84" t="str">
        <f t="shared" ref="D83:D100" si="16">A83&amp;B83</f>
        <v>5011</v>
      </c>
      <c r="E83" s="85" t="str">
        <f>"HNO."&amp;C83</f>
        <v>HNO.Bộ phận Ban Điều hành</v>
      </c>
      <c r="F83" s="86"/>
      <c r="G83" s="86">
        <v>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>
      <c r="A84" s="84">
        <f t="shared" ref="A84:A100" si="17">$A$82</f>
        <v>50</v>
      </c>
      <c r="B84" s="84">
        <f t="shared" ref="B84:B100" si="18">B83+1</f>
        <v>12</v>
      </c>
      <c r="C84" s="167" t="str">
        <f>VLOOKUP(B84,'[1]Bo phan'!$B$5:$C$25,2,0)</f>
        <v>Bộ phận Kinh doanh</v>
      </c>
      <c r="D84" s="84" t="str">
        <f t="shared" si="16"/>
        <v>5012</v>
      </c>
      <c r="E84" s="85" t="str">
        <f t="shared" ref="E84:E100" si="19">"HNO."&amp;C84</f>
        <v>HNO.Bộ phận Kinh doanh</v>
      </c>
      <c r="F84" s="86"/>
      <c r="G84" s="86">
        <v>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>
      <c r="A85" s="84">
        <f t="shared" si="17"/>
        <v>50</v>
      </c>
      <c r="B85" s="84">
        <f t="shared" si="18"/>
        <v>13</v>
      </c>
      <c r="C85" s="167" t="str">
        <f>VLOOKUP(B85,'[1]Bo phan'!$B$5:$C$25,2,0)</f>
        <v>Bộ phận Logistic - Quản lý</v>
      </c>
      <c r="D85" s="84" t="str">
        <f t="shared" si="16"/>
        <v>5013</v>
      </c>
      <c r="E85" s="85" t="str">
        <f t="shared" si="19"/>
        <v>HNO.Bộ phận Logistic - Quản lý</v>
      </c>
      <c r="F85" s="86"/>
      <c r="G85" s="86">
        <v>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>
      <c r="A86" s="84">
        <f t="shared" si="17"/>
        <v>50</v>
      </c>
      <c r="B86" s="84">
        <f t="shared" si="18"/>
        <v>14</v>
      </c>
      <c r="C86" s="167" t="str">
        <f>VLOOKUP(B86,'[1]Bo phan'!$B$5:$C$25,2,0)</f>
        <v>Bộ phận Logistic - Kho</v>
      </c>
      <c r="D86" s="84" t="str">
        <f t="shared" si="16"/>
        <v>5014</v>
      </c>
      <c r="E86" s="85" t="str">
        <f t="shared" si="19"/>
        <v>HNO.Bộ phận Logistic - Kho</v>
      </c>
      <c r="F86" s="86"/>
      <c r="G86" s="86">
        <v>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>
      <c r="A87" s="84">
        <f t="shared" si="17"/>
        <v>50</v>
      </c>
      <c r="B87" s="84">
        <f t="shared" si="18"/>
        <v>15</v>
      </c>
      <c r="C87" s="167" t="str">
        <f>VLOOKUP(B87,'[1]Bo phan'!$B$5:$C$25,2,0)</f>
        <v>Bộ phận Logistic - Giao nhận</v>
      </c>
      <c r="D87" s="84" t="str">
        <f t="shared" si="16"/>
        <v>5015</v>
      </c>
      <c r="E87" s="85" t="str">
        <f t="shared" si="19"/>
        <v>HNO.Bộ phận Logistic - Giao nhận</v>
      </c>
      <c r="F87" s="86"/>
      <c r="G87" s="86">
        <v>2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>
      <c r="A88" s="84">
        <f t="shared" si="17"/>
        <v>50</v>
      </c>
      <c r="B88" s="84">
        <f t="shared" si="18"/>
        <v>16</v>
      </c>
      <c r="C88" s="167" t="str">
        <f>VLOOKUP(B88,'[1]Bo phan'!$B$5:$C$25,2,0)</f>
        <v>Bộ phận Marketing</v>
      </c>
      <c r="D88" s="84" t="str">
        <f t="shared" si="16"/>
        <v>5016</v>
      </c>
      <c r="E88" s="85" t="str">
        <f t="shared" si="19"/>
        <v>HNO.Bộ phận Marketing</v>
      </c>
      <c r="F88" s="86"/>
      <c r="G88" s="86">
        <v>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.75" customHeight="1">
      <c r="A89" s="84">
        <f t="shared" si="17"/>
        <v>50</v>
      </c>
      <c r="B89" s="84">
        <f t="shared" si="18"/>
        <v>17</v>
      </c>
      <c r="C89" s="167" t="str">
        <f>VLOOKUP(B89,'[1]Bo phan'!$B$5:$C$25,2,0)</f>
        <v>Bộ phận Trade Marketing</v>
      </c>
      <c r="D89" s="84" t="str">
        <f t="shared" si="16"/>
        <v>5017</v>
      </c>
      <c r="E89" s="85" t="str">
        <f t="shared" si="19"/>
        <v>HNO.Bộ phận Trade Marketing</v>
      </c>
      <c r="F89" s="86"/>
      <c r="G89" s="86">
        <v>2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.75" customHeight="1">
      <c r="A90" s="84">
        <f t="shared" si="17"/>
        <v>50</v>
      </c>
      <c r="B90" s="84">
        <f t="shared" si="18"/>
        <v>18</v>
      </c>
      <c r="C90" s="167" t="str">
        <f>VLOOKUP(B90,'[1]Bo phan'!$B$5:$C$25,2,0)</f>
        <v>Bộ phận Tài chính - Kế toán</v>
      </c>
      <c r="D90" s="84" t="str">
        <f t="shared" si="16"/>
        <v>5018</v>
      </c>
      <c r="E90" s="85" t="str">
        <f t="shared" si="19"/>
        <v>HNO.Bộ phận Tài chính - Kế toán</v>
      </c>
      <c r="F90" s="86"/>
      <c r="G90" s="86">
        <v>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.75" customHeight="1">
      <c r="A91" s="84">
        <f t="shared" si="17"/>
        <v>50</v>
      </c>
      <c r="B91" s="84">
        <f t="shared" si="18"/>
        <v>19</v>
      </c>
      <c r="C91" s="167" t="str">
        <f>VLOOKUP(B91,'[1]Bo phan'!$B$5:$C$25,2,0)</f>
        <v>Bộ phận Hành chính - Nhân sự</v>
      </c>
      <c r="D91" s="84" t="str">
        <f t="shared" si="16"/>
        <v>5019</v>
      </c>
      <c r="E91" s="85" t="str">
        <f t="shared" si="19"/>
        <v>HNO.Bộ phận Hành chính - Nhân sự</v>
      </c>
      <c r="F91" s="86"/>
      <c r="G91" s="86">
        <v>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.75" customHeight="1">
      <c r="A92" s="84">
        <f t="shared" si="17"/>
        <v>50</v>
      </c>
      <c r="B92" s="84">
        <f t="shared" si="18"/>
        <v>20</v>
      </c>
      <c r="C92" s="167" t="str">
        <f>VLOOKUP(B92,'[1]Bo phan'!$B$5:$C$25,2,0)</f>
        <v>Bộ phận Kế hoạch</v>
      </c>
      <c r="D92" s="84" t="str">
        <f t="shared" si="16"/>
        <v>5020</v>
      </c>
      <c r="E92" s="85" t="str">
        <f t="shared" si="19"/>
        <v>HNO.Bộ phận Kế hoạch</v>
      </c>
      <c r="F92" s="86"/>
      <c r="G92" s="86">
        <v>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.75" customHeight="1">
      <c r="A93" s="84">
        <f t="shared" si="17"/>
        <v>50</v>
      </c>
      <c r="B93" s="84">
        <f t="shared" si="18"/>
        <v>21</v>
      </c>
      <c r="C93" s="167" t="str">
        <f>VLOOKUP(B93,'[1]Bo phan'!$B$5:$C$25,2,0)</f>
        <v>Bộ phận Xuất nhập khẩu</v>
      </c>
      <c r="D93" s="84" t="str">
        <f t="shared" si="16"/>
        <v>5021</v>
      </c>
      <c r="E93" s="85" t="str">
        <f t="shared" si="19"/>
        <v>HNO.Bộ phận Xuất nhập khẩu</v>
      </c>
      <c r="F93" s="5"/>
      <c r="G93" s="86">
        <v>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.75" customHeight="1">
      <c r="A94" s="84">
        <f t="shared" si="17"/>
        <v>50</v>
      </c>
      <c r="B94" s="84">
        <f t="shared" si="18"/>
        <v>22</v>
      </c>
      <c r="C94" s="167" t="str">
        <f>VLOOKUP(B94,'[1]Bo phan'!$B$5:$C$25,2,0)</f>
        <v>Bộ phận Sourcing</v>
      </c>
      <c r="D94" s="84" t="str">
        <f t="shared" si="16"/>
        <v>5022</v>
      </c>
      <c r="E94" s="85" t="str">
        <f t="shared" si="19"/>
        <v>HNO.Bộ phận Sourcing</v>
      </c>
      <c r="F94" s="5"/>
      <c r="G94" s="86">
        <v>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.75" customHeight="1">
      <c r="A95" s="84">
        <f t="shared" si="17"/>
        <v>50</v>
      </c>
      <c r="B95" s="84">
        <f t="shared" si="18"/>
        <v>23</v>
      </c>
      <c r="C95" s="167" t="str">
        <f>VLOOKUP(B95,'[1]Bo phan'!$B$5:$C$25,2,0)</f>
        <v>Bộ phận Mua hàng</v>
      </c>
      <c r="D95" s="84" t="str">
        <f t="shared" si="16"/>
        <v>5023</v>
      </c>
      <c r="E95" s="85" t="str">
        <f t="shared" si="19"/>
        <v>HNO.Bộ phận Mua hàng</v>
      </c>
      <c r="F95" s="5"/>
      <c r="G95" s="86">
        <v>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.75" customHeight="1">
      <c r="A96" s="84">
        <f t="shared" si="17"/>
        <v>50</v>
      </c>
      <c r="B96" s="84">
        <f t="shared" si="18"/>
        <v>24</v>
      </c>
      <c r="C96" s="167" t="str">
        <f>VLOOKUP(B96,'[1]Bo phan'!$B$5:$C$25,2,0)</f>
        <v>Bộ phận Công nghệ thông tin</v>
      </c>
      <c r="D96" s="84" t="str">
        <f t="shared" si="16"/>
        <v>5024</v>
      </c>
      <c r="E96" s="85" t="str">
        <f t="shared" si="19"/>
        <v>HNO.Bộ phận Công nghệ thông tin</v>
      </c>
      <c r="F96" s="5"/>
      <c r="G96" s="86">
        <v>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.75" customHeight="1">
      <c r="A97" s="84">
        <f t="shared" si="17"/>
        <v>50</v>
      </c>
      <c r="B97" s="84">
        <f t="shared" si="18"/>
        <v>25</v>
      </c>
      <c r="C97" s="167" t="str">
        <f>VLOOKUP(B97,'[1]Bo phan'!$B$5:$C$25,2,0)</f>
        <v>Bộ phận Nghiên cứu phát triển</v>
      </c>
      <c r="D97" s="84" t="str">
        <f t="shared" si="16"/>
        <v>5025</v>
      </c>
      <c r="E97" s="85" t="str">
        <f t="shared" si="19"/>
        <v>HNO.Bộ phận Nghiên cứu phát triển</v>
      </c>
      <c r="F97" s="5"/>
      <c r="G97" s="86">
        <v>2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.75" customHeight="1">
      <c r="A98" s="84">
        <f t="shared" si="17"/>
        <v>50</v>
      </c>
      <c r="B98" s="84">
        <f t="shared" si="18"/>
        <v>26</v>
      </c>
      <c r="C98" s="167" t="str">
        <f>VLOOKUP(B98,'[1]Bo phan'!$B$5:$C$25,2,0)</f>
        <v>Bộ phận Bảo trì - Kỹ thuật - Cơ điện</v>
      </c>
      <c r="D98" s="84" t="str">
        <f t="shared" si="16"/>
        <v>5026</v>
      </c>
      <c r="E98" s="85" t="str">
        <f t="shared" si="19"/>
        <v>HNO.Bộ phận Bảo trì - Kỹ thuật - Cơ điện</v>
      </c>
      <c r="F98" s="5"/>
      <c r="G98" s="86">
        <v>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.75" customHeight="1">
      <c r="A99" s="84">
        <f t="shared" si="17"/>
        <v>50</v>
      </c>
      <c r="B99" s="84">
        <f t="shared" si="18"/>
        <v>27</v>
      </c>
      <c r="C99" s="167" t="str">
        <f>VLOOKUP(B99,'[1]Bo phan'!$B$5:$C$25,2,0)</f>
        <v>Bộ phận QA-QC-ATTP-LAB</v>
      </c>
      <c r="D99" s="84" t="str">
        <f t="shared" si="16"/>
        <v>5027</v>
      </c>
      <c r="E99" s="85" t="str">
        <f t="shared" si="19"/>
        <v>HNO.Bộ phận QA-QC-ATTP-LAB</v>
      </c>
      <c r="F99" s="5"/>
      <c r="G99" s="86">
        <v>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.75" customHeight="1">
      <c r="A100" s="84">
        <f t="shared" si="17"/>
        <v>50</v>
      </c>
      <c r="B100" s="84">
        <f t="shared" si="18"/>
        <v>28</v>
      </c>
      <c r="C100" s="167" t="str">
        <f>VLOOKUP(B100,'[1]Bo phan'!$B$5:$C$25,2,0)</f>
        <v>Bộ phận chung</v>
      </c>
      <c r="D100" s="84" t="str">
        <f t="shared" si="16"/>
        <v>5028</v>
      </c>
      <c r="E100" s="85" t="str">
        <f t="shared" si="19"/>
        <v>HNO.Bộ phận chung</v>
      </c>
      <c r="F100" s="5"/>
      <c r="G100" s="86">
        <v>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.75" customHeight="1">
      <c r="A101" s="81">
        <v>60</v>
      </c>
      <c r="B101" s="81"/>
      <c r="C101" s="81"/>
      <c r="D101" s="81">
        <v>6000</v>
      </c>
      <c r="E101" s="82" t="s">
        <v>684</v>
      </c>
      <c r="F101" s="83" t="s">
        <v>30</v>
      </c>
      <c r="G101" s="83">
        <v>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.75" customHeight="1">
      <c r="A102" s="84">
        <f>$A$101</f>
        <v>60</v>
      </c>
      <c r="B102" s="84">
        <v>11</v>
      </c>
      <c r="C102" s="167" t="str">
        <f>VLOOKUP(B102,'[1]Bo phan'!$B$5:$C$25,2,0)</f>
        <v>Bộ phận Ban Điều hành</v>
      </c>
      <c r="D102" s="84" t="str">
        <f>A102&amp;B102</f>
        <v>6011</v>
      </c>
      <c r="E102" s="85" t="str">
        <f>"CTH."&amp;C102</f>
        <v>CTH.Bộ phận Ban Điều hành</v>
      </c>
      <c r="F102" s="86"/>
      <c r="G102" s="86">
        <v>2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.75" customHeight="1">
      <c r="A103" s="84">
        <f t="shared" ref="A103:A119" si="20">$A$101</f>
        <v>60</v>
      </c>
      <c r="B103" s="84">
        <f t="shared" ref="B103:D118" si="21">B102+1</f>
        <v>12</v>
      </c>
      <c r="C103" s="167" t="str">
        <f>VLOOKUP(B103,'[1]Bo phan'!$B$5:$C$25,2,0)</f>
        <v>Bộ phận Kinh doanh</v>
      </c>
      <c r="D103" s="84">
        <f t="shared" si="21"/>
        <v>6012</v>
      </c>
      <c r="E103" s="85" t="str">
        <f t="shared" ref="E103:E119" si="22">"CTH."&amp;C103</f>
        <v>CTH.Bộ phận Kinh doanh</v>
      </c>
      <c r="F103" s="86"/>
      <c r="G103" s="86">
        <v>2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.75" customHeight="1">
      <c r="A104" s="84">
        <f t="shared" si="20"/>
        <v>60</v>
      </c>
      <c r="B104" s="84">
        <f t="shared" si="21"/>
        <v>13</v>
      </c>
      <c r="C104" s="167" t="str">
        <f>VLOOKUP(B104,'[1]Bo phan'!$B$5:$C$25,2,0)</f>
        <v>Bộ phận Logistic - Quản lý</v>
      </c>
      <c r="D104" s="84">
        <f t="shared" si="21"/>
        <v>6013</v>
      </c>
      <c r="E104" s="85" t="str">
        <f t="shared" si="22"/>
        <v>CTH.Bộ phận Logistic - Quản lý</v>
      </c>
      <c r="F104" s="86"/>
      <c r="G104" s="86">
        <v>2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.75" customHeight="1">
      <c r="A105" s="84">
        <f t="shared" si="20"/>
        <v>60</v>
      </c>
      <c r="B105" s="84">
        <f t="shared" si="21"/>
        <v>14</v>
      </c>
      <c r="C105" s="167" t="str">
        <f>VLOOKUP(B105,'[1]Bo phan'!$B$5:$C$25,2,0)</f>
        <v>Bộ phận Logistic - Kho</v>
      </c>
      <c r="D105" s="84">
        <f t="shared" si="21"/>
        <v>6014</v>
      </c>
      <c r="E105" s="85" t="str">
        <f t="shared" si="22"/>
        <v>CTH.Bộ phận Logistic - Kho</v>
      </c>
      <c r="F105" s="86"/>
      <c r="G105" s="86">
        <v>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.75" customHeight="1">
      <c r="A106" s="84">
        <f t="shared" si="20"/>
        <v>60</v>
      </c>
      <c r="B106" s="84">
        <f t="shared" si="21"/>
        <v>15</v>
      </c>
      <c r="C106" s="167" t="str">
        <f>VLOOKUP(B106,'[1]Bo phan'!$B$5:$C$25,2,0)</f>
        <v>Bộ phận Logistic - Giao nhận</v>
      </c>
      <c r="D106" s="84">
        <f t="shared" si="21"/>
        <v>6015</v>
      </c>
      <c r="E106" s="85" t="str">
        <f t="shared" si="22"/>
        <v>CTH.Bộ phận Logistic - Giao nhận</v>
      </c>
      <c r="F106" s="86"/>
      <c r="G106" s="86">
        <v>2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.75" customHeight="1">
      <c r="A107" s="84">
        <f t="shared" si="20"/>
        <v>60</v>
      </c>
      <c r="B107" s="84">
        <f t="shared" si="21"/>
        <v>16</v>
      </c>
      <c r="C107" s="167" t="str">
        <f>VLOOKUP(B107,'[1]Bo phan'!$B$5:$C$25,2,0)</f>
        <v>Bộ phận Marketing</v>
      </c>
      <c r="D107" s="84">
        <f t="shared" si="21"/>
        <v>6016</v>
      </c>
      <c r="E107" s="85" t="str">
        <f t="shared" si="22"/>
        <v>CTH.Bộ phận Marketing</v>
      </c>
      <c r="F107" s="86"/>
      <c r="G107" s="86">
        <v>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.75" customHeight="1">
      <c r="A108" s="84">
        <f t="shared" si="20"/>
        <v>60</v>
      </c>
      <c r="B108" s="84">
        <f t="shared" si="21"/>
        <v>17</v>
      </c>
      <c r="C108" s="167" t="str">
        <f>VLOOKUP(B108,'[1]Bo phan'!$B$5:$C$25,2,0)</f>
        <v>Bộ phận Trade Marketing</v>
      </c>
      <c r="D108" s="84">
        <f t="shared" si="21"/>
        <v>6017</v>
      </c>
      <c r="E108" s="85" t="str">
        <f t="shared" si="22"/>
        <v>CTH.Bộ phận Trade Marketing</v>
      </c>
      <c r="F108" s="86"/>
      <c r="G108" s="86">
        <v>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.75" customHeight="1">
      <c r="A109" s="84">
        <f t="shared" si="20"/>
        <v>60</v>
      </c>
      <c r="B109" s="84">
        <f t="shared" si="21"/>
        <v>18</v>
      </c>
      <c r="C109" s="167" t="str">
        <f>VLOOKUP(B109,'[1]Bo phan'!$B$5:$C$25,2,0)</f>
        <v>Bộ phận Tài chính - Kế toán</v>
      </c>
      <c r="D109" s="84">
        <f t="shared" si="21"/>
        <v>6018</v>
      </c>
      <c r="E109" s="85" t="str">
        <f t="shared" si="22"/>
        <v>CTH.Bộ phận Tài chính - Kế toán</v>
      </c>
      <c r="F109" s="86"/>
      <c r="G109" s="86">
        <v>2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.75" customHeight="1">
      <c r="A110" s="84">
        <f t="shared" si="20"/>
        <v>60</v>
      </c>
      <c r="B110" s="84">
        <f t="shared" si="21"/>
        <v>19</v>
      </c>
      <c r="C110" s="167" t="str">
        <f>VLOOKUP(B110,'[1]Bo phan'!$B$5:$C$25,2,0)</f>
        <v>Bộ phận Hành chính - Nhân sự</v>
      </c>
      <c r="D110" s="84">
        <f t="shared" si="21"/>
        <v>6019</v>
      </c>
      <c r="E110" s="85" t="str">
        <f t="shared" si="22"/>
        <v>CTH.Bộ phận Hành chính - Nhân sự</v>
      </c>
      <c r="F110" s="86"/>
      <c r="G110" s="86">
        <v>2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.75" customHeight="1">
      <c r="A111" s="84">
        <f t="shared" si="20"/>
        <v>60</v>
      </c>
      <c r="B111" s="84">
        <f t="shared" si="21"/>
        <v>20</v>
      </c>
      <c r="C111" s="167" t="str">
        <f>VLOOKUP(B111,'[1]Bo phan'!$B$5:$C$25,2,0)</f>
        <v>Bộ phận Kế hoạch</v>
      </c>
      <c r="D111" s="84">
        <f t="shared" si="21"/>
        <v>6020</v>
      </c>
      <c r="E111" s="85" t="str">
        <f t="shared" si="22"/>
        <v>CTH.Bộ phận Kế hoạch</v>
      </c>
      <c r="F111" s="86"/>
      <c r="G111" s="86">
        <v>2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.75" customHeight="1">
      <c r="A112" s="84">
        <f t="shared" si="20"/>
        <v>60</v>
      </c>
      <c r="B112" s="84">
        <f t="shared" si="21"/>
        <v>21</v>
      </c>
      <c r="C112" s="167" t="str">
        <f>VLOOKUP(B112,'[1]Bo phan'!$B$5:$C$25,2,0)</f>
        <v>Bộ phận Xuất nhập khẩu</v>
      </c>
      <c r="D112" s="84">
        <f t="shared" si="21"/>
        <v>6021</v>
      </c>
      <c r="E112" s="85" t="str">
        <f t="shared" si="22"/>
        <v>CTH.Bộ phận Xuất nhập khẩu</v>
      </c>
      <c r="F112" s="86"/>
      <c r="G112" s="86">
        <v>2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.75" customHeight="1">
      <c r="A113" s="84">
        <f t="shared" si="20"/>
        <v>60</v>
      </c>
      <c r="B113" s="84">
        <f t="shared" si="21"/>
        <v>22</v>
      </c>
      <c r="C113" s="167" t="str">
        <f>VLOOKUP(B113,'[1]Bo phan'!$B$5:$C$25,2,0)</f>
        <v>Bộ phận Sourcing</v>
      </c>
      <c r="D113" s="84">
        <f t="shared" si="21"/>
        <v>6022</v>
      </c>
      <c r="E113" s="85" t="str">
        <f t="shared" si="22"/>
        <v>CTH.Bộ phận Sourcing</v>
      </c>
      <c r="F113" s="86"/>
      <c r="G113" s="86">
        <v>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.75" customHeight="1">
      <c r="A114" s="84">
        <f t="shared" si="20"/>
        <v>60</v>
      </c>
      <c r="B114" s="84">
        <f t="shared" si="21"/>
        <v>23</v>
      </c>
      <c r="C114" s="167" t="str">
        <f>VLOOKUP(B114,'[1]Bo phan'!$B$5:$C$25,2,0)</f>
        <v>Bộ phận Mua hàng</v>
      </c>
      <c r="D114" s="84">
        <f t="shared" si="21"/>
        <v>6023</v>
      </c>
      <c r="E114" s="85" t="str">
        <f t="shared" si="22"/>
        <v>CTH.Bộ phận Mua hàng</v>
      </c>
      <c r="F114" s="86"/>
      <c r="G114" s="86">
        <v>2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.75" customHeight="1">
      <c r="A115" s="84">
        <f t="shared" si="20"/>
        <v>60</v>
      </c>
      <c r="B115" s="84">
        <f t="shared" si="21"/>
        <v>24</v>
      </c>
      <c r="C115" s="167" t="str">
        <f>VLOOKUP(B115,'[1]Bo phan'!$B$5:$C$25,2,0)</f>
        <v>Bộ phận Công nghệ thông tin</v>
      </c>
      <c r="D115" s="84">
        <f t="shared" si="21"/>
        <v>6024</v>
      </c>
      <c r="E115" s="85" t="str">
        <f t="shared" si="22"/>
        <v>CTH.Bộ phận Công nghệ thông tin</v>
      </c>
      <c r="F115" s="86"/>
      <c r="G115" s="86">
        <v>2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.75" customHeight="1">
      <c r="A116" s="84">
        <f t="shared" si="20"/>
        <v>60</v>
      </c>
      <c r="B116" s="84">
        <f t="shared" si="21"/>
        <v>25</v>
      </c>
      <c r="C116" s="167" t="str">
        <f>VLOOKUP(B116,'[1]Bo phan'!$B$5:$C$25,2,0)</f>
        <v>Bộ phận Nghiên cứu phát triển</v>
      </c>
      <c r="D116" s="84">
        <f t="shared" si="21"/>
        <v>6025</v>
      </c>
      <c r="E116" s="85" t="str">
        <f t="shared" si="22"/>
        <v>CTH.Bộ phận Nghiên cứu phát triển</v>
      </c>
      <c r="F116" s="86"/>
      <c r="G116" s="86">
        <v>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.75" customHeight="1">
      <c r="A117" s="84">
        <f t="shared" si="20"/>
        <v>60</v>
      </c>
      <c r="B117" s="84">
        <f t="shared" si="21"/>
        <v>26</v>
      </c>
      <c r="C117" s="167" t="str">
        <f>VLOOKUP(B117,'[1]Bo phan'!$B$5:$C$25,2,0)</f>
        <v>Bộ phận Bảo trì - Kỹ thuật - Cơ điện</v>
      </c>
      <c r="D117" s="84">
        <f t="shared" si="21"/>
        <v>6026</v>
      </c>
      <c r="E117" s="85" t="str">
        <f t="shared" si="22"/>
        <v>CTH.Bộ phận Bảo trì - Kỹ thuật - Cơ điện</v>
      </c>
      <c r="F117" s="86"/>
      <c r="G117" s="86">
        <v>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.75" customHeight="1">
      <c r="A118" s="84">
        <f t="shared" si="20"/>
        <v>60</v>
      </c>
      <c r="B118" s="84">
        <f t="shared" si="21"/>
        <v>27</v>
      </c>
      <c r="C118" s="167" t="str">
        <f>VLOOKUP(B118,'[1]Bo phan'!$B$5:$C$25,2,0)</f>
        <v>Bộ phận QA-QC-ATTP-LAB</v>
      </c>
      <c r="D118" s="84">
        <f t="shared" si="21"/>
        <v>6027</v>
      </c>
      <c r="E118" s="85" t="str">
        <f t="shared" si="22"/>
        <v>CTH.Bộ phận QA-QC-ATTP-LAB</v>
      </c>
      <c r="F118" s="86"/>
      <c r="G118" s="86">
        <v>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.75" customHeight="1">
      <c r="A119" s="84">
        <f t="shared" si="20"/>
        <v>60</v>
      </c>
      <c r="B119" s="84">
        <f t="shared" ref="B119:D119" si="23">B118+1</f>
        <v>28</v>
      </c>
      <c r="C119" s="167" t="str">
        <f>VLOOKUP(B119,'[1]Bo phan'!$B$5:$C$25,2,0)</f>
        <v>Bộ phận chung</v>
      </c>
      <c r="D119" s="84">
        <f t="shared" si="23"/>
        <v>6028</v>
      </c>
      <c r="E119" s="85" t="str">
        <f t="shared" si="22"/>
        <v>CTH.Bộ phận chung</v>
      </c>
      <c r="F119" s="86"/>
      <c r="G119" s="86">
        <v>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.75" customHeight="1">
      <c r="A120" s="6"/>
      <c r="B120" s="6"/>
      <c r="C120" s="6"/>
      <c r="D120" s="6"/>
      <c r="E120" s="10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.75" customHeight="1">
      <c r="A121" s="6"/>
      <c r="B121" s="6"/>
      <c r="C121" s="6"/>
      <c r="D121" s="6"/>
      <c r="E121" s="10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.75" customHeight="1">
      <c r="D122" s="11"/>
      <c r="E122" s="1"/>
      <c r="F122" s="7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D123" s="11"/>
      <c r="E123" s="1"/>
      <c r="F123" s="7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D124" s="11"/>
      <c r="E124" s="1"/>
      <c r="F124" s="7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D125" s="11"/>
      <c r="E125" s="1"/>
      <c r="F125" s="7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D126" s="11"/>
      <c r="E126" s="1"/>
      <c r="F126" s="7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D127" s="11"/>
      <c r="E127" s="1"/>
      <c r="F127" s="7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D128" s="11"/>
      <c r="E128" s="1"/>
      <c r="F128" s="7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4:26" ht="13.5" customHeight="1">
      <c r="D129" s="11"/>
      <c r="E129" s="1"/>
      <c r="F129" s="7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4:26" ht="13.5" customHeight="1">
      <c r="D130" s="11"/>
      <c r="E130" s="1"/>
      <c r="F130" s="7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4:26" ht="13.5" customHeight="1">
      <c r="D131" s="11"/>
      <c r="E131" s="1"/>
      <c r="F131" s="7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4:26" ht="13.5" customHeight="1">
      <c r="D132" s="11"/>
      <c r="E132" s="1"/>
      <c r="F132" s="7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4:26" ht="13.5" customHeight="1">
      <c r="D133" s="11"/>
      <c r="E133" s="1"/>
      <c r="F133" s="7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4:26" ht="13.5" customHeight="1">
      <c r="D134" s="11"/>
      <c r="E134" s="1"/>
      <c r="F134" s="7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4:26" ht="13.5" customHeight="1">
      <c r="D135" s="11"/>
      <c r="E135" s="1"/>
      <c r="F135" s="7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4:26" ht="13.5" customHeight="1">
      <c r="D136" s="11"/>
      <c r="E136" s="1"/>
      <c r="F136" s="7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4:26" ht="13.5" customHeight="1">
      <c r="D137" s="11"/>
      <c r="E137" s="1"/>
      <c r="F137" s="7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4:26" ht="13.5" customHeight="1">
      <c r="D138" s="11"/>
      <c r="E138" s="1"/>
      <c r="F138" s="7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4:26" ht="13.5" customHeight="1">
      <c r="D139" s="11"/>
      <c r="E139" s="1"/>
      <c r="F139" s="7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4:26" ht="13.5" customHeight="1">
      <c r="D140" s="11"/>
      <c r="E140" s="1"/>
      <c r="F140" s="7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4:26" ht="13.5" customHeight="1">
      <c r="D141" s="11"/>
      <c r="E141" s="1"/>
      <c r="F141" s="7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4:26" ht="13.5" customHeight="1">
      <c r="D142" s="11"/>
      <c r="E142" s="1"/>
      <c r="F142" s="7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4:26" ht="13.5" customHeight="1">
      <c r="D143" s="11"/>
      <c r="E143" s="1"/>
      <c r="F143" s="7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4:26" ht="13.5" customHeight="1">
      <c r="D144" s="11"/>
      <c r="E144" s="1"/>
      <c r="F144" s="7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4:26" ht="13.5" customHeight="1">
      <c r="D145" s="11"/>
      <c r="E145" s="1"/>
      <c r="F145" s="7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4:26" ht="13.5" customHeight="1">
      <c r="D146" s="11"/>
      <c r="E146" s="1"/>
      <c r="F146" s="7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4:26" ht="13.5" customHeight="1">
      <c r="D147" s="11"/>
      <c r="E147" s="1"/>
      <c r="F147" s="7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4:26" ht="13.5" customHeight="1">
      <c r="D148" s="11"/>
      <c r="E148" s="1"/>
      <c r="F148" s="7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4:26" ht="13.5" customHeight="1">
      <c r="D149" s="11"/>
      <c r="E149" s="1"/>
      <c r="F149" s="7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4:26" ht="13.5" customHeight="1">
      <c r="D150" s="11"/>
      <c r="E150" s="1"/>
      <c r="F150" s="7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4:26" ht="13.5" customHeight="1">
      <c r="D151" s="11"/>
      <c r="E151" s="1"/>
      <c r="F151" s="7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4:26" ht="13.5" customHeight="1">
      <c r="D152" s="11"/>
      <c r="E152" s="1"/>
      <c r="F152" s="7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4:26" ht="13.5" customHeight="1">
      <c r="D153" s="11"/>
      <c r="E153" s="1"/>
      <c r="F153" s="7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4:26" ht="13.5" customHeight="1">
      <c r="D154" s="11"/>
      <c r="E154" s="1"/>
      <c r="F154" s="7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4:26" ht="13.5" customHeight="1">
      <c r="D155" s="11"/>
      <c r="E155" s="1"/>
      <c r="F155" s="7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4:26" ht="13.5" customHeight="1">
      <c r="D156" s="11"/>
      <c r="E156" s="1"/>
      <c r="F156" s="7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4:26" ht="13.5" customHeight="1">
      <c r="D157" s="11"/>
      <c r="E157" s="1"/>
      <c r="F157" s="7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4:26" ht="13.5" customHeight="1">
      <c r="D158" s="11"/>
      <c r="E158" s="1"/>
      <c r="F158" s="7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4:26" ht="13.5" customHeight="1">
      <c r="D159" s="11"/>
      <c r="E159" s="1"/>
      <c r="F159" s="7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4:26" ht="13.5" customHeight="1">
      <c r="D160" s="11"/>
      <c r="E160" s="1"/>
      <c r="F160" s="7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4:26" ht="13.5" customHeight="1">
      <c r="D161" s="11"/>
      <c r="E161" s="1"/>
      <c r="F161" s="7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4:26" ht="13.5" customHeight="1">
      <c r="D162" s="11"/>
      <c r="E162" s="1"/>
      <c r="F162" s="7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4:26" ht="13.5" customHeight="1">
      <c r="D163" s="11"/>
      <c r="E163" s="1"/>
      <c r="F163" s="7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4:26" ht="13.5" customHeight="1">
      <c r="D164" s="11"/>
      <c r="E164" s="1"/>
      <c r="F164" s="7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4:26" ht="13.5" customHeight="1">
      <c r="D165" s="11"/>
      <c r="E165" s="1"/>
      <c r="F165" s="7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4:26" ht="13.5" customHeight="1">
      <c r="D166" s="11"/>
      <c r="E166" s="1"/>
      <c r="F166" s="7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4:26" ht="13.5" customHeight="1">
      <c r="D167" s="11"/>
      <c r="E167" s="1"/>
      <c r="F167" s="7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4:26" ht="13.5" customHeight="1">
      <c r="D168" s="11"/>
      <c r="E168" s="1"/>
      <c r="F168" s="7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4:26" ht="13.5" customHeight="1">
      <c r="D169" s="11"/>
      <c r="E169" s="1"/>
      <c r="F169" s="7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4:26" ht="13.5" customHeight="1">
      <c r="D170" s="11"/>
      <c r="E170" s="1"/>
      <c r="F170" s="7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4:26" ht="13.5" customHeight="1">
      <c r="D171" s="11"/>
      <c r="E171" s="1"/>
      <c r="F171" s="7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4:26" ht="13.5" customHeight="1">
      <c r="D172" s="11"/>
      <c r="E172" s="1"/>
      <c r="F172" s="7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4:26" ht="13.5" customHeight="1">
      <c r="D173" s="11"/>
      <c r="E173" s="1"/>
      <c r="F173" s="7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4:26" ht="13.5" customHeight="1">
      <c r="D174" s="11"/>
      <c r="E174" s="1"/>
      <c r="F174" s="7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4:26" ht="13.5" customHeight="1">
      <c r="D175" s="11"/>
      <c r="E175" s="1"/>
      <c r="F175" s="7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4:26" ht="13.5" customHeight="1">
      <c r="D176" s="11"/>
      <c r="E176" s="1"/>
      <c r="F176" s="7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4:26" ht="13.5" customHeight="1">
      <c r="D177" s="11"/>
      <c r="E177" s="1"/>
      <c r="F177" s="7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4:26" ht="13.5" customHeight="1">
      <c r="D178" s="11"/>
      <c r="E178" s="1"/>
      <c r="F178" s="7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4:26" ht="13.5" customHeight="1">
      <c r="D179" s="11"/>
      <c r="E179" s="1"/>
      <c r="F179" s="7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4:26" ht="13.5" customHeight="1">
      <c r="D180" s="11"/>
      <c r="E180" s="1"/>
      <c r="F180" s="7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4:26" ht="13.5" customHeight="1">
      <c r="D181" s="11"/>
      <c r="E181" s="1"/>
      <c r="F181" s="7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4:26" ht="13.5" customHeight="1">
      <c r="D182" s="11"/>
      <c r="E182" s="1"/>
      <c r="F182" s="7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4:26" ht="13.5" customHeight="1">
      <c r="D183" s="11"/>
      <c r="E183" s="1"/>
      <c r="F183" s="7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4:26" ht="13.5" customHeight="1">
      <c r="D184" s="11"/>
      <c r="E184" s="1"/>
      <c r="F184" s="7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4:26" ht="13.5" customHeight="1">
      <c r="D185" s="11"/>
      <c r="E185" s="1"/>
      <c r="F185" s="7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4:26" ht="13.5" customHeight="1">
      <c r="D186" s="11"/>
      <c r="E186" s="1"/>
      <c r="F186" s="7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4:26" ht="13.5" customHeight="1">
      <c r="D187" s="11"/>
      <c r="E187" s="1"/>
      <c r="F187" s="7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4:26" ht="13.5" customHeight="1">
      <c r="D188" s="11"/>
      <c r="E188" s="1"/>
      <c r="F188" s="7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4:26" ht="13.5" customHeight="1">
      <c r="D189" s="11"/>
      <c r="E189" s="1"/>
      <c r="F189" s="7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4:26" ht="13.5" customHeight="1">
      <c r="D190" s="11"/>
      <c r="E190" s="1"/>
      <c r="F190" s="7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4:26" ht="13.5" customHeight="1">
      <c r="D191" s="11"/>
      <c r="E191" s="1"/>
      <c r="F191" s="7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4:26" ht="13.5" customHeight="1">
      <c r="D192" s="11"/>
      <c r="E192" s="1"/>
      <c r="F192" s="7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4:26" ht="13.5" customHeight="1">
      <c r="D193" s="11"/>
      <c r="E193" s="1"/>
      <c r="F193" s="7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4:26" ht="13.5" customHeight="1">
      <c r="D194" s="11"/>
      <c r="E194" s="1"/>
      <c r="F194" s="7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4:26" ht="13.5" customHeight="1">
      <c r="D195" s="11"/>
      <c r="E195" s="1"/>
      <c r="F195" s="7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4:26" ht="13.5" customHeight="1">
      <c r="D196" s="11"/>
      <c r="E196" s="1"/>
      <c r="F196" s="7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4:26" ht="13.5" customHeight="1">
      <c r="D197" s="11"/>
      <c r="E197" s="1"/>
      <c r="F197" s="7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4:26" ht="13.5" customHeight="1">
      <c r="D198" s="11"/>
      <c r="E198" s="1"/>
      <c r="F198" s="7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4:26" ht="13.5" customHeight="1">
      <c r="D199" s="11"/>
      <c r="E199" s="1"/>
      <c r="F199" s="7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4:26" ht="13.5" customHeight="1">
      <c r="D200" s="11"/>
      <c r="E200" s="1"/>
      <c r="F200" s="7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4:26" ht="13.5" customHeight="1">
      <c r="D201" s="11"/>
      <c r="E201" s="1"/>
      <c r="F201" s="7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4:26" ht="13.5" customHeight="1">
      <c r="D202" s="11"/>
      <c r="E202" s="1"/>
      <c r="F202" s="7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4:26" ht="13.5" customHeight="1">
      <c r="D203" s="11"/>
      <c r="E203" s="1"/>
      <c r="F203" s="7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4:26" ht="13.5" customHeight="1">
      <c r="D204" s="11"/>
      <c r="E204" s="1"/>
      <c r="F204" s="7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4:26" ht="13.5" customHeight="1">
      <c r="D205" s="11"/>
      <c r="E205" s="1"/>
      <c r="F205" s="7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4:26" ht="13.5" customHeight="1">
      <c r="D206" s="11"/>
      <c r="E206" s="1"/>
      <c r="F206" s="7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4:26" ht="13.5" customHeight="1">
      <c r="D207" s="11"/>
      <c r="E207" s="1"/>
      <c r="F207" s="7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4:26" ht="13.5" customHeight="1">
      <c r="D208" s="11"/>
      <c r="E208" s="1"/>
      <c r="F208" s="7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4:26" ht="13.5" customHeight="1">
      <c r="D209" s="11"/>
      <c r="E209" s="1"/>
      <c r="F209" s="7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4:26" ht="13.5" customHeight="1">
      <c r="D210" s="11"/>
      <c r="E210" s="1"/>
      <c r="F210" s="7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4:26" ht="13.5" customHeight="1">
      <c r="D211" s="11"/>
      <c r="E211" s="1"/>
      <c r="F211" s="7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4:26" ht="13.5" customHeight="1">
      <c r="D212" s="11"/>
      <c r="E212" s="1"/>
      <c r="F212" s="7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4:26" ht="13.5" customHeight="1">
      <c r="D213" s="11"/>
      <c r="E213" s="1"/>
      <c r="F213" s="7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4:26" ht="13.5" customHeight="1">
      <c r="D214" s="11"/>
      <c r="E214" s="1"/>
      <c r="F214" s="7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4:26" ht="13.5" customHeight="1">
      <c r="D215" s="11"/>
      <c r="E215" s="1"/>
      <c r="F215" s="7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4:26" ht="13.5" customHeight="1">
      <c r="D216" s="11"/>
      <c r="E216" s="1"/>
      <c r="F216" s="7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4:26" ht="13.5" customHeight="1">
      <c r="D217" s="11"/>
      <c r="E217" s="1"/>
      <c r="F217" s="7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4:26" ht="13.5" customHeight="1">
      <c r="D218" s="11"/>
      <c r="E218" s="1"/>
      <c r="F218" s="7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4:26" ht="13.5" customHeight="1">
      <c r="D219" s="11"/>
      <c r="E219" s="1"/>
      <c r="F219" s="7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4:26" ht="13.5" customHeight="1">
      <c r="D220" s="11"/>
      <c r="E220" s="1"/>
      <c r="F220" s="7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4:26" ht="13.5" customHeight="1">
      <c r="D221" s="11"/>
      <c r="E221" s="1"/>
      <c r="F221" s="7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4:26" ht="13.5" customHeight="1">
      <c r="D222" s="11"/>
      <c r="E222" s="1"/>
      <c r="F222" s="7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4:26" ht="13.5" customHeight="1">
      <c r="D223" s="11"/>
      <c r="E223" s="1"/>
      <c r="F223" s="7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4:26" ht="13.5" customHeight="1">
      <c r="D224" s="11"/>
      <c r="E224" s="1"/>
      <c r="F224" s="7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4:26" ht="13.5" customHeight="1">
      <c r="D225" s="11"/>
      <c r="E225" s="1"/>
      <c r="F225" s="7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4:26" ht="13.5" customHeight="1">
      <c r="D226" s="11"/>
      <c r="E226" s="1"/>
      <c r="F226" s="7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4:26" ht="13.5" customHeight="1">
      <c r="D227" s="11"/>
      <c r="E227" s="1"/>
      <c r="F227" s="7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4:26" ht="13.5" customHeight="1">
      <c r="D228" s="11"/>
      <c r="E228" s="1"/>
      <c r="F228" s="7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4:26" ht="13.5" customHeight="1">
      <c r="D229" s="11"/>
      <c r="E229" s="1"/>
      <c r="F229" s="7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4:26" ht="13.5" customHeight="1">
      <c r="D230" s="11"/>
      <c r="E230" s="1"/>
      <c r="F230" s="7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4:26" ht="13.5" customHeight="1">
      <c r="D231" s="11"/>
      <c r="E231" s="1"/>
      <c r="F231" s="7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4:26" ht="13.5" customHeight="1">
      <c r="D232" s="11"/>
      <c r="E232" s="1"/>
      <c r="F232" s="7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4:26" ht="13.5" customHeight="1">
      <c r="D233" s="11"/>
      <c r="E233" s="1"/>
      <c r="F233" s="7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4:26" ht="13.5" customHeight="1">
      <c r="D234" s="11"/>
      <c r="E234" s="1"/>
      <c r="F234" s="7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4:26" ht="13.5" customHeight="1">
      <c r="D235" s="11"/>
      <c r="E235" s="1"/>
      <c r="F235" s="7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4:26" ht="13.5" customHeight="1">
      <c r="D236" s="11"/>
      <c r="E236" s="1"/>
      <c r="F236" s="7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4:26" ht="13.5" customHeight="1">
      <c r="D237" s="11"/>
      <c r="E237" s="1"/>
      <c r="F237" s="7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4:26" ht="13.5" customHeight="1">
      <c r="D238" s="11"/>
      <c r="E238" s="1"/>
      <c r="F238" s="7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4:26" ht="13.5" customHeight="1">
      <c r="D239" s="11"/>
      <c r="E239" s="1"/>
      <c r="F239" s="7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4:26" ht="13.5" customHeight="1">
      <c r="D240" s="11"/>
      <c r="E240" s="1"/>
      <c r="F240" s="7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4:26" ht="13.5" customHeight="1">
      <c r="D241" s="11"/>
      <c r="E241" s="1"/>
      <c r="F241" s="7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4:26" ht="13.5" customHeight="1">
      <c r="D242" s="11"/>
      <c r="E242" s="1"/>
      <c r="F242" s="7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4:26" ht="13.5" customHeight="1">
      <c r="D243" s="11"/>
      <c r="E243" s="1"/>
      <c r="F243" s="7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4:26" ht="13.5" customHeight="1">
      <c r="D244" s="11"/>
      <c r="E244" s="1"/>
      <c r="F244" s="7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4:26" ht="13.5" customHeight="1">
      <c r="D245" s="11"/>
      <c r="E245" s="1"/>
      <c r="F245" s="7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4:26" ht="13.5" customHeight="1">
      <c r="D246" s="11"/>
      <c r="E246" s="1"/>
      <c r="F246" s="7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4:26" ht="13.5" customHeight="1">
      <c r="D247" s="11"/>
      <c r="E247" s="1"/>
      <c r="F247" s="7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4:26" ht="13.5" customHeight="1">
      <c r="D248" s="11"/>
      <c r="E248" s="1"/>
      <c r="F248" s="7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4:26" ht="13.5" customHeight="1">
      <c r="D249" s="11"/>
      <c r="E249" s="1"/>
      <c r="F249" s="7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4:26" ht="13.5" customHeight="1">
      <c r="D250" s="11"/>
      <c r="E250" s="1"/>
      <c r="F250" s="7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4:26" ht="13.5" customHeight="1">
      <c r="D251" s="11"/>
      <c r="E251" s="1"/>
      <c r="F251" s="7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4:26" ht="13.5" customHeight="1">
      <c r="D252" s="11"/>
      <c r="E252" s="1"/>
      <c r="F252" s="7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4:26" ht="13.5" customHeight="1">
      <c r="D253" s="11"/>
      <c r="E253" s="1"/>
      <c r="F253" s="7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4:26" ht="13.5" customHeight="1">
      <c r="D254" s="11"/>
      <c r="E254" s="1"/>
      <c r="F254" s="7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4:26" ht="13.5" customHeight="1">
      <c r="D255" s="11"/>
      <c r="E255" s="1"/>
      <c r="F255" s="7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4:26" ht="13.5" customHeight="1">
      <c r="D256" s="11"/>
      <c r="E256" s="1"/>
      <c r="F256" s="7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4:26" ht="13.5" customHeight="1">
      <c r="D257" s="11"/>
      <c r="E257" s="1"/>
      <c r="F257" s="7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4:26" ht="13.5" customHeight="1">
      <c r="D258" s="11"/>
      <c r="E258" s="1"/>
      <c r="F258" s="7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4:26" ht="13.5" customHeight="1">
      <c r="D259" s="11"/>
      <c r="E259" s="1"/>
      <c r="F259" s="7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4:26" ht="13.5" customHeight="1">
      <c r="D260" s="11"/>
      <c r="E260" s="1"/>
      <c r="F260" s="7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4:26" ht="13.5" customHeight="1">
      <c r="D261" s="11"/>
      <c r="E261" s="1"/>
      <c r="F261" s="7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4:26" ht="13.5" customHeight="1">
      <c r="D262" s="11"/>
      <c r="E262" s="1"/>
      <c r="F262" s="7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4:26" ht="13.5" customHeight="1">
      <c r="D263" s="11"/>
      <c r="E263" s="1"/>
      <c r="F263" s="7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4:26" ht="13.5" customHeight="1">
      <c r="D264" s="11"/>
      <c r="E264" s="1"/>
      <c r="F264" s="7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4:26" ht="13.5" customHeight="1">
      <c r="D265" s="11"/>
      <c r="E265" s="1"/>
      <c r="F265" s="7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4:26" ht="13.5" customHeight="1">
      <c r="D266" s="11"/>
      <c r="E266" s="1"/>
      <c r="F266" s="7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4:26" ht="13.5" customHeight="1">
      <c r="D267" s="11"/>
      <c r="E267" s="1"/>
      <c r="F267" s="7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4:26" ht="13.5" customHeight="1">
      <c r="D268" s="11"/>
      <c r="E268" s="1"/>
      <c r="F268" s="7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4:26" ht="13.5" customHeight="1">
      <c r="D269" s="11"/>
      <c r="E269" s="1"/>
      <c r="F269" s="7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4:26" ht="13.5" customHeight="1">
      <c r="D270" s="11"/>
      <c r="E270" s="1"/>
      <c r="F270" s="7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4:26" ht="13.5" customHeight="1">
      <c r="D271" s="11"/>
      <c r="E271" s="1"/>
      <c r="F271" s="7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4:26" ht="13.5" customHeight="1">
      <c r="D272" s="11"/>
      <c r="E272" s="1"/>
      <c r="F272" s="7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4:26" ht="13.5" customHeight="1">
      <c r="D273" s="11"/>
      <c r="E273" s="1"/>
      <c r="F273" s="7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4:26" ht="13.5" customHeight="1">
      <c r="D274" s="11"/>
      <c r="E274" s="1"/>
      <c r="F274" s="7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4:26" ht="13.5" customHeight="1">
      <c r="D275" s="11"/>
      <c r="E275" s="1"/>
      <c r="F275" s="7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4:26" ht="13.5" customHeight="1">
      <c r="D276" s="11"/>
      <c r="E276" s="1"/>
      <c r="F276" s="7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4:26" ht="13.5" customHeight="1">
      <c r="D277" s="11"/>
      <c r="E277" s="1"/>
      <c r="F277" s="7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4:26" ht="13.5" customHeight="1">
      <c r="D278" s="11"/>
      <c r="E278" s="1"/>
      <c r="F278" s="7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4:26" ht="13.5" customHeight="1">
      <c r="D279" s="11"/>
      <c r="E279" s="1"/>
      <c r="F279" s="7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4:26" ht="13.5" customHeight="1">
      <c r="D280" s="11"/>
      <c r="E280" s="1"/>
      <c r="F280" s="7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4:26" ht="13.5" customHeight="1">
      <c r="D281" s="11"/>
      <c r="E281" s="1"/>
      <c r="F281" s="7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4:26" ht="13.5" customHeight="1">
      <c r="D282" s="11"/>
      <c r="E282" s="1"/>
      <c r="F282" s="7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4:26" ht="13.5" customHeight="1">
      <c r="D283" s="11"/>
      <c r="E283" s="1"/>
      <c r="F283" s="7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4:26" ht="13.5" customHeight="1">
      <c r="D284" s="11"/>
      <c r="E284" s="1"/>
      <c r="F284" s="7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4:26" ht="13.5" customHeight="1">
      <c r="D285" s="11"/>
      <c r="E285" s="1"/>
      <c r="F285" s="7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4:26" ht="13.5" customHeight="1">
      <c r="D286" s="11"/>
      <c r="E286" s="1"/>
      <c r="F286" s="7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4:26" ht="13.5" customHeight="1">
      <c r="D287" s="11"/>
      <c r="E287" s="1"/>
      <c r="F287" s="7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4:26" ht="13.5" customHeight="1">
      <c r="D288" s="11"/>
      <c r="E288" s="1"/>
      <c r="F288" s="7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4:26" ht="13.5" customHeight="1">
      <c r="D289" s="11"/>
      <c r="E289" s="1"/>
      <c r="F289" s="7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4:26" ht="13.5" customHeight="1">
      <c r="D290" s="11"/>
      <c r="E290" s="1"/>
      <c r="F290" s="7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4:26" ht="13.5" customHeight="1">
      <c r="D291" s="11"/>
      <c r="E291" s="1"/>
      <c r="F291" s="7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4:26" ht="13.5" customHeight="1">
      <c r="D292" s="11"/>
      <c r="E292" s="1"/>
      <c r="F292" s="7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4:26" ht="13.5" customHeight="1">
      <c r="D293" s="11"/>
      <c r="E293" s="1"/>
      <c r="F293" s="7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4:26" ht="13.5" customHeight="1">
      <c r="D294" s="11"/>
      <c r="E294" s="1"/>
      <c r="F294" s="7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4:26" ht="13.5" customHeight="1">
      <c r="D295" s="11"/>
      <c r="E295" s="1"/>
      <c r="F295" s="7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4:26" ht="13.5" customHeight="1">
      <c r="D296" s="11"/>
      <c r="E296" s="1"/>
      <c r="F296" s="7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4:26" ht="13.5" customHeight="1">
      <c r="D297" s="11"/>
      <c r="E297" s="1"/>
      <c r="F297" s="7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4:26" ht="13.5" customHeight="1">
      <c r="D298" s="11"/>
      <c r="E298" s="1"/>
      <c r="F298" s="7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4:26" ht="13.5" customHeight="1">
      <c r="D299" s="11"/>
      <c r="E299" s="1"/>
      <c r="F299" s="7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4:26" ht="13.5" customHeight="1">
      <c r="D300" s="11"/>
      <c r="E300" s="1"/>
      <c r="F300" s="7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4:26" ht="13.5" customHeight="1">
      <c r="D301" s="11"/>
      <c r="E301" s="1"/>
      <c r="F301" s="7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4:26" ht="13.5" customHeight="1">
      <c r="D302" s="11"/>
      <c r="E302" s="1"/>
      <c r="F302" s="7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4:26" ht="13.5" customHeight="1">
      <c r="D303" s="11"/>
      <c r="E303" s="1"/>
      <c r="F303" s="7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4:26" ht="13.5" customHeight="1">
      <c r="D304" s="11"/>
      <c r="E304" s="1"/>
      <c r="F304" s="7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4:26" ht="13.5" customHeight="1">
      <c r="D305" s="11"/>
      <c r="E305" s="1"/>
      <c r="F305" s="7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4:26" ht="13.5" customHeight="1">
      <c r="D306" s="11"/>
      <c r="E306" s="1"/>
      <c r="F306" s="7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4:26" ht="13.5" customHeight="1">
      <c r="D307" s="11"/>
      <c r="E307" s="1"/>
      <c r="F307" s="7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4:26" ht="13.5" customHeight="1">
      <c r="D308" s="11"/>
      <c r="E308" s="1"/>
      <c r="F308" s="7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4:26" ht="13.5" customHeight="1">
      <c r="D309" s="11"/>
      <c r="E309" s="1"/>
      <c r="F309" s="7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4:26" ht="13.5" customHeight="1">
      <c r="D310" s="11"/>
      <c r="E310" s="1"/>
      <c r="F310" s="7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4:26" ht="13.5" customHeight="1">
      <c r="D311" s="11"/>
      <c r="E311" s="1"/>
      <c r="F311" s="7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4:26" ht="13.5" customHeight="1">
      <c r="D312" s="11"/>
      <c r="E312" s="1"/>
      <c r="F312" s="7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4:26" ht="13.5" customHeight="1">
      <c r="D313" s="11"/>
      <c r="E313" s="1"/>
      <c r="F313" s="7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4:26" ht="13.5" customHeight="1">
      <c r="D314" s="11"/>
      <c r="E314" s="1"/>
      <c r="F314" s="7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4:26" ht="13.5" customHeight="1">
      <c r="D315" s="11"/>
      <c r="E315" s="1"/>
      <c r="F315" s="7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4:26" ht="13.5" customHeight="1">
      <c r="D316" s="11"/>
      <c r="E316" s="1"/>
      <c r="F316" s="7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4:26" ht="13.5" customHeight="1">
      <c r="D317" s="11"/>
      <c r="E317" s="1"/>
      <c r="F317" s="7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4:26" ht="13.5" customHeight="1">
      <c r="D318" s="11"/>
      <c r="E318" s="1"/>
      <c r="F318" s="7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4:26" ht="13.5" customHeight="1">
      <c r="D319" s="11"/>
      <c r="E319" s="1"/>
      <c r="F319" s="7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4:26" ht="13.5" customHeight="1">
      <c r="D320" s="11"/>
      <c r="E320" s="1"/>
      <c r="F320" s="7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4:26" ht="13.5" customHeight="1">
      <c r="D321" s="11"/>
      <c r="E321" s="1"/>
      <c r="F321" s="7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4:26" ht="13.5" customHeight="1">
      <c r="D322" s="11"/>
      <c r="E322" s="1"/>
      <c r="F322" s="7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4:26" ht="13.5" customHeight="1">
      <c r="D323" s="11"/>
      <c r="E323" s="1"/>
      <c r="F323" s="7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4:26" ht="13.5" customHeight="1">
      <c r="D324" s="11"/>
      <c r="E324" s="1"/>
      <c r="F324" s="7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4:26" ht="13.5" customHeight="1">
      <c r="D325" s="11"/>
      <c r="E325" s="1"/>
      <c r="F325" s="7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4:26" ht="13.5" customHeight="1">
      <c r="D326" s="11"/>
      <c r="E326" s="1"/>
      <c r="F326" s="7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4:26" ht="13.5" customHeight="1">
      <c r="D327" s="11"/>
      <c r="E327" s="1"/>
      <c r="F327" s="7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4:26" ht="13.5" customHeight="1">
      <c r="D328" s="11"/>
      <c r="E328" s="1"/>
      <c r="F328" s="7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4:26" ht="13.5" customHeight="1">
      <c r="D329" s="11"/>
      <c r="E329" s="1"/>
      <c r="F329" s="7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4:26" ht="13.5" customHeight="1">
      <c r="D330" s="11"/>
      <c r="E330" s="1"/>
      <c r="F330" s="7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4:26" ht="13.5" customHeight="1">
      <c r="D331" s="11"/>
      <c r="E331" s="1"/>
      <c r="F331" s="7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4:26" ht="13.5" customHeight="1">
      <c r="D332" s="11"/>
      <c r="E332" s="1"/>
      <c r="F332" s="7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4:26" ht="13.5" customHeight="1">
      <c r="D333" s="11"/>
      <c r="E333" s="1"/>
      <c r="F333" s="7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4:26" ht="13.5" customHeight="1">
      <c r="D334" s="11"/>
      <c r="E334" s="1"/>
      <c r="F334" s="7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4:26" ht="13.5" customHeight="1">
      <c r="D335" s="11"/>
      <c r="E335" s="1"/>
      <c r="F335" s="7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4:26" ht="13.5" customHeight="1">
      <c r="D336" s="11"/>
      <c r="E336" s="1"/>
      <c r="F336" s="7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4:26" ht="13.5" customHeight="1">
      <c r="D337" s="11"/>
      <c r="E337" s="1"/>
      <c r="F337" s="7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4:26" ht="13.5" customHeight="1">
      <c r="D338" s="11"/>
      <c r="E338" s="1"/>
      <c r="F338" s="7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4:26" ht="13.5" customHeight="1">
      <c r="D339" s="11"/>
      <c r="E339" s="1"/>
      <c r="F339" s="7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4:26" ht="13.5" customHeight="1">
      <c r="D340" s="11"/>
      <c r="E340" s="1"/>
      <c r="F340" s="7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4:26" ht="13.5" customHeight="1">
      <c r="D341" s="11"/>
      <c r="E341" s="1"/>
      <c r="F341" s="7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4:26" ht="13.5" customHeight="1">
      <c r="D342" s="11"/>
      <c r="E342" s="1"/>
      <c r="F342" s="7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4:26" ht="13.5" customHeight="1">
      <c r="D343" s="11"/>
      <c r="E343" s="1"/>
      <c r="F343" s="7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4:26" ht="13.5" customHeight="1">
      <c r="D344" s="11"/>
      <c r="E344" s="1"/>
      <c r="F344" s="7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4:26" ht="13.5" customHeight="1">
      <c r="D345" s="11"/>
      <c r="E345" s="1"/>
      <c r="F345" s="7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4:26" ht="13.5" customHeight="1">
      <c r="D346" s="11"/>
      <c r="E346" s="1"/>
      <c r="F346" s="7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4:26" ht="13.5" customHeight="1">
      <c r="D347" s="11"/>
      <c r="E347" s="1"/>
      <c r="F347" s="7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4:26" ht="13.5" customHeight="1">
      <c r="D348" s="11"/>
      <c r="E348" s="1"/>
      <c r="F348" s="7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4:26" ht="13.5" customHeight="1">
      <c r="D349" s="11"/>
      <c r="E349" s="1"/>
      <c r="F349" s="7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4:26" ht="13.5" customHeight="1">
      <c r="D350" s="11"/>
      <c r="E350" s="1"/>
      <c r="F350" s="7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4:26" ht="13.5" customHeight="1">
      <c r="D351" s="11"/>
      <c r="E351" s="1"/>
      <c r="F351" s="7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4:26" ht="13.5" customHeight="1">
      <c r="D352" s="11"/>
      <c r="E352" s="1"/>
      <c r="F352" s="7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4:26" ht="13.5" customHeight="1">
      <c r="D353" s="11"/>
      <c r="E353" s="1"/>
      <c r="F353" s="7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4:26" ht="13.5" customHeight="1">
      <c r="D354" s="11"/>
      <c r="E354" s="1"/>
      <c r="F354" s="7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4:26" ht="13.5" customHeight="1">
      <c r="D355" s="11"/>
      <c r="E355" s="1"/>
      <c r="F355" s="7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4:26" ht="13.5" customHeight="1">
      <c r="D356" s="11"/>
      <c r="E356" s="1"/>
      <c r="F356" s="7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4:26" ht="13.5" customHeight="1">
      <c r="D357" s="11"/>
      <c r="E357" s="1"/>
      <c r="F357" s="7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4:26" ht="13.5" customHeight="1">
      <c r="D358" s="11"/>
      <c r="E358" s="1"/>
      <c r="F358" s="7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4:26" ht="13.5" customHeight="1">
      <c r="D359" s="11"/>
      <c r="E359" s="1"/>
      <c r="F359" s="7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4:26" ht="13.5" customHeight="1">
      <c r="D360" s="11"/>
      <c r="E360" s="1"/>
      <c r="F360" s="7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4:26" ht="13.5" customHeight="1">
      <c r="D361" s="11"/>
      <c r="E361" s="1"/>
      <c r="F361" s="7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4:26" ht="13.5" customHeight="1">
      <c r="D362" s="11"/>
      <c r="E362" s="1"/>
      <c r="F362" s="7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4:26" ht="13.5" customHeight="1">
      <c r="D363" s="11"/>
      <c r="E363" s="1"/>
      <c r="F363" s="7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4:26" ht="13.5" customHeight="1">
      <c r="D364" s="11"/>
      <c r="E364" s="1"/>
      <c r="F364" s="7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4:26" ht="13.5" customHeight="1">
      <c r="D365" s="11"/>
      <c r="E365" s="1"/>
      <c r="F365" s="7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4:26" ht="13.5" customHeight="1">
      <c r="D366" s="11"/>
      <c r="E366" s="1"/>
      <c r="F366" s="7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4:26" ht="13.5" customHeight="1">
      <c r="D367" s="11"/>
      <c r="E367" s="1"/>
      <c r="F367" s="7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4:26" ht="13.5" customHeight="1">
      <c r="D368" s="11"/>
      <c r="E368" s="1"/>
      <c r="F368" s="7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4:26" ht="13.5" customHeight="1">
      <c r="D369" s="11"/>
      <c r="E369" s="1"/>
      <c r="F369" s="7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4:26" ht="13.5" customHeight="1">
      <c r="D370" s="11"/>
      <c r="E370" s="1"/>
      <c r="F370" s="7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4:26" ht="13.5" customHeight="1">
      <c r="D371" s="11"/>
      <c r="E371" s="1"/>
      <c r="F371" s="7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4:26" ht="13.5" customHeight="1">
      <c r="D372" s="11"/>
      <c r="E372" s="1"/>
      <c r="F372" s="7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4:26" ht="13.5" customHeight="1">
      <c r="D373" s="11"/>
      <c r="E373" s="1"/>
      <c r="F373" s="7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4:26" ht="13.5" customHeight="1">
      <c r="D374" s="11"/>
      <c r="E374" s="1"/>
      <c r="F374" s="7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4:26" ht="13.5" customHeight="1">
      <c r="D375" s="11"/>
      <c r="E375" s="1"/>
      <c r="F375" s="7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4:26" ht="13.5" customHeight="1">
      <c r="D376" s="11"/>
      <c r="E376" s="1"/>
      <c r="F376" s="7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4:26" ht="13.5" customHeight="1">
      <c r="D377" s="11"/>
      <c r="E377" s="1"/>
      <c r="F377" s="7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4:26" ht="13.5" customHeight="1">
      <c r="D378" s="11"/>
      <c r="E378" s="1"/>
      <c r="F378" s="7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4:26" ht="13.5" customHeight="1">
      <c r="D379" s="11"/>
      <c r="E379" s="1"/>
      <c r="F379" s="7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4:26" ht="13.5" customHeight="1">
      <c r="D380" s="11"/>
      <c r="E380" s="1"/>
      <c r="F380" s="7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4:26" ht="13.5" customHeight="1">
      <c r="D381" s="11"/>
      <c r="E381" s="1"/>
      <c r="F381" s="7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4:26" ht="13.5" customHeight="1">
      <c r="D382" s="11"/>
      <c r="E382" s="1"/>
      <c r="F382" s="7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4:26" ht="13.5" customHeight="1">
      <c r="D383" s="11"/>
      <c r="E383" s="1"/>
      <c r="F383" s="7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4:26" ht="13.5" customHeight="1">
      <c r="D384" s="11"/>
      <c r="E384" s="1"/>
      <c r="F384" s="7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4:26" ht="13.5" customHeight="1">
      <c r="D385" s="11"/>
      <c r="E385" s="1"/>
      <c r="F385" s="7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4:26" ht="13.5" customHeight="1">
      <c r="D386" s="11"/>
      <c r="E386" s="1"/>
      <c r="F386" s="7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4:26" ht="13.5" customHeight="1">
      <c r="D387" s="11"/>
      <c r="E387" s="1"/>
      <c r="F387" s="7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4:26" ht="13.5" customHeight="1">
      <c r="D388" s="11"/>
      <c r="E388" s="1"/>
      <c r="F388" s="7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4:26" ht="13.5" customHeight="1">
      <c r="D389" s="11"/>
      <c r="E389" s="1"/>
      <c r="F389" s="7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4:26" ht="13.5" customHeight="1">
      <c r="D390" s="11"/>
      <c r="E390" s="1"/>
      <c r="F390" s="7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4:26" ht="13.5" customHeight="1">
      <c r="D391" s="11"/>
      <c r="E391" s="1"/>
      <c r="F391" s="7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4:26" ht="13.5" customHeight="1">
      <c r="D392" s="11"/>
      <c r="E392" s="1"/>
      <c r="F392" s="7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4:26" ht="13.5" customHeight="1">
      <c r="D393" s="11"/>
      <c r="E393" s="1"/>
      <c r="F393" s="7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4:26" ht="13.5" customHeight="1">
      <c r="D394" s="11"/>
      <c r="E394" s="1"/>
      <c r="F394" s="7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4:26" ht="13.5" customHeight="1">
      <c r="D395" s="11"/>
      <c r="E395" s="1"/>
      <c r="F395" s="7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4:26" ht="13.5" customHeight="1">
      <c r="D396" s="11"/>
      <c r="E396" s="1"/>
      <c r="F396" s="7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4:26" ht="13.5" customHeight="1">
      <c r="D397" s="11"/>
      <c r="E397" s="1"/>
      <c r="F397" s="7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4:26" ht="13.5" customHeight="1">
      <c r="D398" s="11"/>
      <c r="E398" s="1"/>
      <c r="F398" s="7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4:26" ht="13.5" customHeight="1">
      <c r="D399" s="11"/>
      <c r="E399" s="1"/>
      <c r="F399" s="7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4:26" ht="13.5" customHeight="1">
      <c r="D400" s="11"/>
      <c r="E400" s="1"/>
      <c r="F400" s="7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4:26" ht="13.5" customHeight="1">
      <c r="D401" s="11"/>
      <c r="E401" s="1"/>
      <c r="F401" s="7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4:26" ht="13.5" customHeight="1">
      <c r="D402" s="11"/>
      <c r="E402" s="1"/>
      <c r="F402" s="7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4:26" ht="13.5" customHeight="1">
      <c r="D403" s="11"/>
      <c r="E403" s="1"/>
      <c r="F403" s="7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4:26" ht="13.5" customHeight="1">
      <c r="D404" s="11"/>
      <c r="E404" s="1"/>
      <c r="F404" s="7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4:26" ht="13.5" customHeight="1">
      <c r="D405" s="11"/>
      <c r="E405" s="1"/>
      <c r="F405" s="7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4:26" ht="13.5" customHeight="1">
      <c r="D406" s="11"/>
      <c r="E406" s="1"/>
      <c r="F406" s="7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4:26" ht="13.5" customHeight="1">
      <c r="D407" s="11"/>
      <c r="E407" s="1"/>
      <c r="F407" s="7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4:26" ht="13.5" customHeight="1">
      <c r="D408" s="11"/>
      <c r="E408" s="1"/>
      <c r="F408" s="7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4:26" ht="13.5" customHeight="1">
      <c r="D409" s="11"/>
      <c r="E409" s="1"/>
      <c r="F409" s="7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4:26" ht="13.5" customHeight="1">
      <c r="D410" s="11"/>
      <c r="E410" s="1"/>
      <c r="F410" s="7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4:26" ht="13.5" customHeight="1">
      <c r="D411" s="11"/>
      <c r="E411" s="1"/>
      <c r="F411" s="7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4:26" ht="13.5" customHeight="1">
      <c r="D412" s="11"/>
      <c r="E412" s="1"/>
      <c r="F412" s="7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4:26" ht="13.5" customHeight="1">
      <c r="D413" s="11"/>
      <c r="E413" s="1"/>
      <c r="F413" s="7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4:26" ht="13.5" customHeight="1">
      <c r="D414" s="11"/>
      <c r="E414" s="1"/>
      <c r="F414" s="7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4:26" ht="13.5" customHeight="1">
      <c r="D415" s="11"/>
      <c r="E415" s="1"/>
      <c r="F415" s="7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4:26" ht="13.5" customHeight="1">
      <c r="D416" s="11"/>
      <c r="E416" s="1"/>
      <c r="F416" s="7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4:26" ht="13.5" customHeight="1">
      <c r="D417" s="11"/>
      <c r="E417" s="1"/>
      <c r="F417" s="7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4:26" ht="13.5" customHeight="1">
      <c r="D418" s="11"/>
      <c r="E418" s="1"/>
      <c r="F418" s="7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4:26" ht="13.5" customHeight="1">
      <c r="D419" s="11"/>
      <c r="E419" s="1"/>
      <c r="F419" s="7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4:26" ht="13.5" customHeight="1">
      <c r="D420" s="11"/>
      <c r="E420" s="1"/>
      <c r="F420" s="7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4:26" ht="13.5" customHeight="1">
      <c r="D421" s="11"/>
      <c r="E421" s="1"/>
      <c r="F421" s="7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4:26" ht="13.5" customHeight="1">
      <c r="D422" s="11"/>
      <c r="E422" s="1"/>
      <c r="F422" s="7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4:26" ht="13.5" customHeight="1">
      <c r="D423" s="11"/>
      <c r="E423" s="1"/>
      <c r="F423" s="7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4:26" ht="13.5" customHeight="1">
      <c r="D424" s="11"/>
      <c r="E424" s="1"/>
      <c r="F424" s="7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4:26" ht="13.5" customHeight="1">
      <c r="D425" s="11"/>
      <c r="E425" s="1"/>
      <c r="F425" s="7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4:26" ht="13.5" customHeight="1">
      <c r="D426" s="11"/>
      <c r="E426" s="1"/>
      <c r="F426" s="7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4:26" ht="13.5" customHeight="1">
      <c r="D427" s="11"/>
      <c r="E427" s="1"/>
      <c r="F427" s="7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4:26" ht="13.5" customHeight="1">
      <c r="D428" s="11"/>
      <c r="E428" s="1"/>
      <c r="F428" s="7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4:26" ht="13.5" customHeight="1">
      <c r="D429" s="11"/>
      <c r="E429" s="1"/>
      <c r="F429" s="7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4:26" ht="13.5" customHeight="1">
      <c r="D430" s="11"/>
      <c r="E430" s="1"/>
      <c r="F430" s="7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4:26" ht="13.5" customHeight="1">
      <c r="D431" s="11"/>
      <c r="E431" s="1"/>
      <c r="F431" s="7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4:26" ht="13.5" customHeight="1">
      <c r="D432" s="11"/>
      <c r="E432" s="1"/>
      <c r="F432" s="7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4:26" ht="13.5" customHeight="1">
      <c r="D433" s="11"/>
      <c r="E433" s="1"/>
      <c r="F433" s="7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4:26" ht="13.5" customHeight="1">
      <c r="D434" s="11"/>
      <c r="E434" s="1"/>
      <c r="F434" s="7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4:26" ht="13.5" customHeight="1">
      <c r="D435" s="11"/>
      <c r="E435" s="1"/>
      <c r="F435" s="7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4:26" ht="13.5" customHeight="1">
      <c r="D436" s="11"/>
      <c r="E436" s="1"/>
      <c r="F436" s="7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4:26" ht="13.5" customHeight="1">
      <c r="D437" s="11"/>
      <c r="E437" s="1"/>
      <c r="F437" s="7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4:26" ht="13.5" customHeight="1">
      <c r="D438" s="11"/>
      <c r="E438" s="1"/>
      <c r="F438" s="7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4:26" ht="13.5" customHeight="1">
      <c r="D439" s="11"/>
      <c r="E439" s="1"/>
      <c r="F439" s="7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4:26" ht="13.5" customHeight="1">
      <c r="D440" s="11"/>
      <c r="E440" s="1"/>
      <c r="F440" s="7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4:26" ht="13.5" customHeight="1">
      <c r="D441" s="11"/>
      <c r="E441" s="1"/>
      <c r="F441" s="7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4:26" ht="13.5" customHeight="1">
      <c r="D442" s="11"/>
      <c r="E442" s="1"/>
      <c r="F442" s="7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4:26" ht="13.5" customHeight="1">
      <c r="D443" s="11"/>
      <c r="E443" s="1"/>
      <c r="F443" s="7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4:26" ht="13.5" customHeight="1">
      <c r="D444" s="11"/>
      <c r="E444" s="1"/>
      <c r="F444" s="7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4:26" ht="13.5" customHeight="1">
      <c r="D445" s="11"/>
      <c r="E445" s="1"/>
      <c r="F445" s="7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4:26" ht="13.5" customHeight="1">
      <c r="D446" s="11"/>
      <c r="E446" s="1"/>
      <c r="F446" s="7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4:26" ht="13.5" customHeight="1">
      <c r="D447" s="11"/>
      <c r="E447" s="1"/>
      <c r="F447" s="7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4:26" ht="13.5" customHeight="1">
      <c r="D448" s="11"/>
      <c r="E448" s="1"/>
      <c r="F448" s="7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4:26" ht="13.5" customHeight="1">
      <c r="D449" s="11"/>
      <c r="E449" s="1"/>
      <c r="F449" s="7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4:26" ht="13.5" customHeight="1">
      <c r="D450" s="11"/>
      <c r="E450" s="1"/>
      <c r="F450" s="7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4:26" ht="13.5" customHeight="1">
      <c r="D451" s="11"/>
      <c r="E451" s="1"/>
      <c r="F451" s="7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4:26" ht="13.5" customHeight="1">
      <c r="D452" s="11"/>
      <c r="E452" s="1"/>
      <c r="F452" s="7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4:26" ht="13.5" customHeight="1">
      <c r="D453" s="11"/>
      <c r="E453" s="1"/>
      <c r="F453" s="7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4:26" ht="13.5" customHeight="1">
      <c r="D454" s="11"/>
      <c r="E454" s="1"/>
      <c r="F454" s="7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4:26" ht="13.5" customHeight="1">
      <c r="D455" s="11"/>
      <c r="E455" s="1"/>
      <c r="F455" s="7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4:26" ht="13.5" customHeight="1">
      <c r="D456" s="11"/>
      <c r="E456" s="1"/>
      <c r="F456" s="7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4:26" ht="13.5" customHeight="1">
      <c r="D457" s="11"/>
      <c r="E457" s="1"/>
      <c r="F457" s="7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4:26" ht="13.5" customHeight="1">
      <c r="D458" s="11"/>
      <c r="E458" s="1"/>
      <c r="F458" s="7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4:26" ht="13.5" customHeight="1">
      <c r="D459" s="11"/>
      <c r="E459" s="1"/>
      <c r="F459" s="7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4:26" ht="13.5" customHeight="1">
      <c r="D460" s="11"/>
      <c r="E460" s="1"/>
      <c r="F460" s="7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4:26" ht="13.5" customHeight="1">
      <c r="D461" s="11"/>
      <c r="E461" s="1"/>
      <c r="F461" s="7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4:26" ht="13.5" customHeight="1">
      <c r="D462" s="11"/>
      <c r="E462" s="1"/>
      <c r="F462" s="7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4:26" ht="13.5" customHeight="1">
      <c r="D463" s="11"/>
      <c r="E463" s="1"/>
      <c r="F463" s="7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4:26" ht="13.5" customHeight="1">
      <c r="D464" s="11"/>
      <c r="E464" s="1"/>
      <c r="F464" s="7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4:26" ht="13.5" customHeight="1">
      <c r="D465" s="11"/>
      <c r="E465" s="1"/>
      <c r="F465" s="7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4:26" ht="13.5" customHeight="1">
      <c r="D466" s="11"/>
      <c r="E466" s="1"/>
      <c r="F466" s="7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4:26" ht="13.5" customHeight="1">
      <c r="D467" s="11"/>
      <c r="E467" s="1"/>
      <c r="F467" s="7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4:26" ht="13.5" customHeight="1">
      <c r="D468" s="11"/>
      <c r="E468" s="1"/>
      <c r="F468" s="7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4:26" ht="13.5" customHeight="1">
      <c r="D469" s="11"/>
      <c r="E469" s="1"/>
      <c r="F469" s="7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4:26" ht="13.5" customHeight="1">
      <c r="D470" s="11"/>
      <c r="E470" s="1"/>
      <c r="F470" s="7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4:26" ht="13.5" customHeight="1">
      <c r="D471" s="11"/>
      <c r="E471" s="1"/>
      <c r="F471" s="7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4:26" ht="13.5" customHeight="1">
      <c r="D472" s="11"/>
      <c r="E472" s="1"/>
      <c r="F472" s="7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4:26" ht="13.5" customHeight="1">
      <c r="D473" s="11"/>
      <c r="E473" s="1"/>
      <c r="F473" s="7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4:26" ht="13.5" customHeight="1">
      <c r="D474" s="11"/>
      <c r="E474" s="1"/>
      <c r="F474" s="7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4:26" ht="13.5" customHeight="1">
      <c r="D475" s="11"/>
      <c r="E475" s="1"/>
      <c r="F475" s="7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4:26" ht="13.5" customHeight="1">
      <c r="D476" s="11"/>
      <c r="E476" s="1"/>
      <c r="F476" s="7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4:26" ht="13.5" customHeight="1">
      <c r="D477" s="11"/>
      <c r="E477" s="1"/>
      <c r="F477" s="7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4:26" ht="13.5" customHeight="1">
      <c r="D478" s="11"/>
      <c r="E478" s="1"/>
      <c r="F478" s="7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4:26" ht="13.5" customHeight="1">
      <c r="D479" s="11"/>
      <c r="E479" s="1"/>
      <c r="F479" s="7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4:26" ht="13.5" customHeight="1">
      <c r="D480" s="11"/>
      <c r="E480" s="1"/>
      <c r="F480" s="7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4:26" ht="13.5" customHeight="1">
      <c r="D481" s="11"/>
      <c r="E481" s="1"/>
      <c r="F481" s="7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4:26" ht="13.5" customHeight="1">
      <c r="D482" s="11"/>
      <c r="E482" s="1"/>
      <c r="F482" s="7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4:26" ht="13.5" customHeight="1">
      <c r="D483" s="11"/>
      <c r="E483" s="1"/>
      <c r="F483" s="7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4:26" ht="13.5" customHeight="1">
      <c r="D484" s="11"/>
      <c r="E484" s="1"/>
      <c r="F484" s="7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4:26" ht="13.5" customHeight="1">
      <c r="D485" s="11"/>
      <c r="E485" s="1"/>
      <c r="F485" s="7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4:26" ht="13.5" customHeight="1">
      <c r="D486" s="11"/>
      <c r="E486" s="1"/>
      <c r="F486" s="7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4:26" ht="13.5" customHeight="1">
      <c r="D487" s="11"/>
      <c r="E487" s="1"/>
      <c r="F487" s="7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4:26" ht="13.5" customHeight="1">
      <c r="D488" s="11"/>
      <c r="E488" s="1"/>
      <c r="F488" s="7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4:26" ht="13.5" customHeight="1">
      <c r="D489" s="11"/>
      <c r="E489" s="1"/>
      <c r="F489" s="7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4:26" ht="13.5" customHeight="1">
      <c r="D490" s="11"/>
      <c r="E490" s="1"/>
      <c r="F490" s="7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4:26" ht="13.5" customHeight="1">
      <c r="D491" s="11"/>
      <c r="E491" s="1"/>
      <c r="F491" s="7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4:26" ht="13.5" customHeight="1">
      <c r="D492" s="11"/>
      <c r="E492" s="1"/>
      <c r="F492" s="7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4:26" ht="13.5" customHeight="1">
      <c r="D493" s="11"/>
      <c r="E493" s="1"/>
      <c r="F493" s="7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4:26" ht="13.5" customHeight="1">
      <c r="D494" s="11"/>
      <c r="E494" s="1"/>
      <c r="F494" s="7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4:26" ht="13.5" customHeight="1">
      <c r="D495" s="11"/>
      <c r="E495" s="1"/>
      <c r="F495" s="7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4:26" ht="13.5" customHeight="1">
      <c r="D496" s="11"/>
      <c r="E496" s="1"/>
      <c r="F496" s="7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4:26" ht="13.5" customHeight="1">
      <c r="D497" s="11"/>
      <c r="E497" s="1"/>
      <c r="F497" s="7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4:26" ht="13.5" customHeight="1">
      <c r="D498" s="11"/>
      <c r="E498" s="1"/>
      <c r="F498" s="7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4:26" ht="13.5" customHeight="1">
      <c r="D499" s="11"/>
      <c r="E499" s="1"/>
      <c r="F499" s="7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4:26" ht="13.5" customHeight="1">
      <c r="D500" s="11"/>
      <c r="E500" s="1"/>
      <c r="F500" s="7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4:26" ht="13.5" customHeight="1">
      <c r="D501" s="11"/>
      <c r="E501" s="1"/>
      <c r="F501" s="7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4:26" ht="13.5" customHeight="1">
      <c r="D502" s="11"/>
      <c r="E502" s="1"/>
      <c r="F502" s="7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4:26" ht="13.5" customHeight="1">
      <c r="D503" s="11"/>
      <c r="E503" s="1"/>
      <c r="F503" s="7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4:26" ht="13.5" customHeight="1">
      <c r="D504" s="11"/>
      <c r="E504" s="1"/>
      <c r="F504" s="7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4:26" ht="13.5" customHeight="1">
      <c r="D505" s="11"/>
      <c r="E505" s="1"/>
      <c r="F505" s="7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4:26" ht="13.5" customHeight="1">
      <c r="D506" s="11"/>
      <c r="E506" s="1"/>
      <c r="F506" s="7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4:26" ht="13.5" customHeight="1">
      <c r="D507" s="11"/>
      <c r="E507" s="1"/>
      <c r="F507" s="7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4:26" ht="13.5" customHeight="1">
      <c r="D508" s="11"/>
      <c r="E508" s="1"/>
      <c r="F508" s="7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4:26" ht="13.5" customHeight="1">
      <c r="D509" s="11"/>
      <c r="E509" s="1"/>
      <c r="F509" s="7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4:26" ht="13.5" customHeight="1">
      <c r="D510" s="11"/>
      <c r="E510" s="1"/>
      <c r="F510" s="7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4:26" ht="13.5" customHeight="1">
      <c r="D511" s="11"/>
      <c r="E511" s="1"/>
      <c r="F511" s="7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4:26" ht="13.5" customHeight="1">
      <c r="D512" s="11"/>
      <c r="E512" s="1"/>
      <c r="F512" s="7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4:26" ht="13.5" customHeight="1">
      <c r="D513" s="11"/>
      <c r="E513" s="1"/>
      <c r="F513" s="7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4:26" ht="13.5" customHeight="1">
      <c r="D514" s="11"/>
      <c r="E514" s="1"/>
      <c r="F514" s="7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4:26" ht="13.5" customHeight="1">
      <c r="D515" s="11"/>
      <c r="E515" s="1"/>
      <c r="F515" s="7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4:26" ht="13.5" customHeight="1">
      <c r="D516" s="11"/>
      <c r="E516" s="1"/>
      <c r="F516" s="7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4:26" ht="13.5" customHeight="1">
      <c r="D517" s="11"/>
      <c r="E517" s="1"/>
      <c r="F517" s="7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4:26" ht="13.5" customHeight="1">
      <c r="D518" s="11"/>
      <c r="E518" s="1"/>
      <c r="F518" s="7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4:26" ht="13.5" customHeight="1">
      <c r="D519" s="11"/>
      <c r="E519" s="1"/>
      <c r="F519" s="7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4:26" ht="13.5" customHeight="1">
      <c r="D520" s="11"/>
      <c r="E520" s="1"/>
      <c r="F520" s="7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4:26" ht="13.5" customHeight="1">
      <c r="D521" s="11"/>
      <c r="E521" s="1"/>
      <c r="F521" s="7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4:26" ht="13.5" customHeight="1">
      <c r="D522" s="11"/>
      <c r="E522" s="1"/>
      <c r="F522" s="7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4:26" ht="13.5" customHeight="1">
      <c r="D523" s="11"/>
      <c r="E523" s="1"/>
      <c r="F523" s="7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4:26" ht="13.5" customHeight="1">
      <c r="D524" s="11"/>
      <c r="E524" s="1"/>
      <c r="F524" s="7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4:26" ht="13.5" customHeight="1">
      <c r="D525" s="11"/>
      <c r="E525" s="1"/>
      <c r="F525" s="7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4:26" ht="13.5" customHeight="1">
      <c r="D526" s="11"/>
      <c r="E526" s="1"/>
      <c r="F526" s="7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4:26" ht="13.5" customHeight="1">
      <c r="D527" s="11"/>
      <c r="E527" s="1"/>
      <c r="F527" s="7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4:26" ht="13.5" customHeight="1">
      <c r="D528" s="11"/>
      <c r="E528" s="1"/>
      <c r="F528" s="7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4:26" ht="13.5" customHeight="1">
      <c r="D529" s="11"/>
      <c r="E529" s="1"/>
      <c r="F529" s="7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4:26" ht="13.5" customHeight="1">
      <c r="D530" s="11"/>
      <c r="E530" s="1"/>
      <c r="F530" s="7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4:26" ht="13.5" customHeight="1">
      <c r="D531" s="11"/>
      <c r="E531" s="1"/>
      <c r="F531" s="7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4:26" ht="13.5" customHeight="1">
      <c r="D532" s="11"/>
      <c r="E532" s="1"/>
      <c r="F532" s="7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4:26" ht="13.5" customHeight="1">
      <c r="D533" s="11"/>
      <c r="E533" s="1"/>
      <c r="F533" s="7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4:26" ht="13.5" customHeight="1">
      <c r="D534" s="11"/>
      <c r="E534" s="1"/>
      <c r="F534" s="7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4:26" ht="13.5" customHeight="1">
      <c r="D535" s="11"/>
      <c r="E535" s="1"/>
      <c r="F535" s="7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4:26" ht="13.5" customHeight="1">
      <c r="D536" s="11"/>
      <c r="E536" s="1"/>
      <c r="F536" s="7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4:26" ht="13.5" customHeight="1">
      <c r="D537" s="11"/>
      <c r="E537" s="1"/>
      <c r="F537" s="7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4:26" ht="13.5" customHeight="1">
      <c r="D538" s="11"/>
      <c r="E538" s="1"/>
      <c r="F538" s="7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4:26" ht="13.5" customHeight="1">
      <c r="D539" s="11"/>
      <c r="E539" s="1"/>
      <c r="F539" s="7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4:26" ht="13.5" customHeight="1">
      <c r="D540" s="11"/>
      <c r="E540" s="1"/>
      <c r="F540" s="7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4:26" ht="13.5" customHeight="1">
      <c r="D541" s="11"/>
      <c r="E541" s="1"/>
      <c r="F541" s="7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4:26" ht="13.5" customHeight="1">
      <c r="D542" s="11"/>
      <c r="E542" s="1"/>
      <c r="F542" s="7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4:26" ht="13.5" customHeight="1">
      <c r="D543" s="11"/>
      <c r="E543" s="1"/>
      <c r="F543" s="7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4:26" ht="13.5" customHeight="1">
      <c r="D544" s="11"/>
      <c r="E544" s="1"/>
      <c r="F544" s="7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4:26" ht="13.5" customHeight="1">
      <c r="D545" s="11"/>
      <c r="E545" s="1"/>
      <c r="F545" s="7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4:26" ht="13.5" customHeight="1">
      <c r="D546" s="11"/>
      <c r="E546" s="1"/>
      <c r="F546" s="7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4:26" ht="13.5" customHeight="1">
      <c r="D547" s="11"/>
      <c r="E547" s="1"/>
      <c r="F547" s="7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4:26" ht="13.5" customHeight="1">
      <c r="D548" s="11"/>
      <c r="E548" s="1"/>
      <c r="F548" s="7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4:26" ht="13.5" customHeight="1">
      <c r="D549" s="11"/>
      <c r="E549" s="1"/>
      <c r="F549" s="7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4:26" ht="13.5" customHeight="1">
      <c r="D550" s="11"/>
      <c r="E550" s="1"/>
      <c r="F550" s="7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4:26" ht="13.5" customHeight="1">
      <c r="D551" s="11"/>
      <c r="E551" s="1"/>
      <c r="F551" s="7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4:26" ht="13.5" customHeight="1">
      <c r="D552" s="11"/>
      <c r="E552" s="1"/>
      <c r="F552" s="7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4:26" ht="13.5" customHeight="1">
      <c r="D553" s="11"/>
      <c r="E553" s="1"/>
      <c r="F553" s="7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4:26" ht="13.5" customHeight="1">
      <c r="D554" s="11"/>
      <c r="E554" s="1"/>
      <c r="F554" s="7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4:26" ht="13.5" customHeight="1">
      <c r="D555" s="11"/>
      <c r="E555" s="1"/>
      <c r="F555" s="7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4:26" ht="13.5" customHeight="1">
      <c r="D556" s="11"/>
      <c r="E556" s="1"/>
      <c r="F556" s="7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4:26" ht="13.5" customHeight="1">
      <c r="D557" s="11"/>
      <c r="E557" s="1"/>
      <c r="F557" s="7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4:26" ht="13.5" customHeight="1">
      <c r="D558" s="11"/>
      <c r="E558" s="1"/>
      <c r="F558" s="7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4:26" ht="13.5" customHeight="1">
      <c r="D559" s="11"/>
      <c r="E559" s="1"/>
      <c r="F559" s="7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4:26" ht="13.5" customHeight="1">
      <c r="D560" s="11"/>
      <c r="E560" s="1"/>
      <c r="F560" s="7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4:26" ht="13.5" customHeight="1">
      <c r="D561" s="11"/>
      <c r="E561" s="1"/>
      <c r="F561" s="7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4:26" ht="13.5" customHeight="1">
      <c r="D562" s="11"/>
      <c r="E562" s="1"/>
      <c r="F562" s="7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4:26" ht="13.5" customHeight="1">
      <c r="D563" s="11"/>
      <c r="E563" s="1"/>
      <c r="F563" s="7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4:26" ht="13.5" customHeight="1">
      <c r="D564" s="11"/>
      <c r="E564" s="1"/>
      <c r="F564" s="7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4:26" ht="13.5" customHeight="1">
      <c r="D565" s="11"/>
      <c r="E565" s="1"/>
      <c r="F565" s="7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4:26" ht="13.5" customHeight="1">
      <c r="D566" s="11"/>
      <c r="E566" s="1"/>
      <c r="F566" s="7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4:26" ht="13.5" customHeight="1">
      <c r="D567" s="11"/>
      <c r="E567" s="1"/>
      <c r="F567" s="7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4:26" ht="13.5" customHeight="1">
      <c r="D568" s="11"/>
      <c r="E568" s="1"/>
      <c r="F568" s="7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4:26" ht="13.5" customHeight="1">
      <c r="D569" s="11"/>
      <c r="E569" s="1"/>
      <c r="F569" s="7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4:26" ht="13.5" customHeight="1">
      <c r="D570" s="11"/>
      <c r="E570" s="1"/>
      <c r="F570" s="7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4:26" ht="13.5" customHeight="1">
      <c r="D571" s="11"/>
      <c r="E571" s="1"/>
      <c r="F571" s="7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4:26" ht="13.5" customHeight="1">
      <c r="D572" s="11"/>
      <c r="E572" s="1"/>
      <c r="F572" s="7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4:26" ht="13.5" customHeight="1">
      <c r="D573" s="11"/>
      <c r="E573" s="1"/>
      <c r="F573" s="7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4:26" ht="13.5" customHeight="1">
      <c r="D574" s="11"/>
      <c r="E574" s="1"/>
      <c r="F574" s="7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4:26" ht="13.5" customHeight="1">
      <c r="D575" s="11"/>
      <c r="E575" s="1"/>
      <c r="F575" s="7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4:26" ht="13.5" customHeight="1">
      <c r="D576" s="11"/>
      <c r="E576" s="1"/>
      <c r="F576" s="7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4:26" ht="13.5" customHeight="1">
      <c r="D577" s="11"/>
      <c r="E577" s="1"/>
      <c r="F577" s="7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4:26" ht="13.5" customHeight="1">
      <c r="D578" s="11"/>
      <c r="E578" s="1"/>
      <c r="F578" s="7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4:26" ht="13.5" customHeight="1">
      <c r="D579" s="11"/>
      <c r="E579" s="1"/>
      <c r="F579" s="7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4:26" ht="13.5" customHeight="1">
      <c r="D580" s="11"/>
      <c r="E580" s="1"/>
      <c r="F580" s="7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4:26" ht="13.5" customHeight="1">
      <c r="D581" s="11"/>
      <c r="E581" s="1"/>
      <c r="F581" s="7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4:26" ht="13.5" customHeight="1">
      <c r="D582" s="11"/>
      <c r="E582" s="1"/>
      <c r="F582" s="7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4:26" ht="13.5" customHeight="1">
      <c r="D583" s="11"/>
      <c r="E583" s="1"/>
      <c r="F583" s="7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4:26" ht="13.5" customHeight="1">
      <c r="D584" s="11"/>
      <c r="E584" s="1"/>
      <c r="F584" s="7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4:26" ht="13.5" customHeight="1">
      <c r="D585" s="11"/>
      <c r="E585" s="1"/>
      <c r="F585" s="7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4:26" ht="13.5" customHeight="1">
      <c r="D586" s="11"/>
      <c r="E586" s="1"/>
      <c r="F586" s="7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4:26" ht="13.5" customHeight="1">
      <c r="D587" s="11"/>
      <c r="E587" s="1"/>
      <c r="F587" s="7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4:26" ht="13.5" customHeight="1">
      <c r="D588" s="11"/>
      <c r="E588" s="1"/>
      <c r="F588" s="7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4:26" ht="13.5" customHeight="1">
      <c r="D589" s="11"/>
      <c r="E589" s="1"/>
      <c r="F589" s="7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4:26" ht="13.5" customHeight="1">
      <c r="D590" s="11"/>
      <c r="E590" s="1"/>
      <c r="F590" s="7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4:26" ht="13.5" customHeight="1">
      <c r="D591" s="11"/>
      <c r="E591" s="1"/>
      <c r="F591" s="7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4:26" ht="13.5" customHeight="1">
      <c r="D592" s="11"/>
      <c r="E592" s="1"/>
      <c r="F592" s="7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4:26" ht="13.5" customHeight="1">
      <c r="D593" s="11"/>
      <c r="E593" s="1"/>
      <c r="F593" s="7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4:26" ht="13.5" customHeight="1">
      <c r="D594" s="11"/>
      <c r="E594" s="1"/>
      <c r="F594" s="7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4:26" ht="13.5" customHeight="1">
      <c r="D595" s="11"/>
      <c r="E595" s="1"/>
      <c r="F595" s="7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4:26" ht="13.5" customHeight="1">
      <c r="D596" s="11"/>
      <c r="E596" s="1"/>
      <c r="F596" s="7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4:26" ht="13.5" customHeight="1">
      <c r="D597" s="11"/>
      <c r="E597" s="1"/>
      <c r="F597" s="7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4:26" ht="13.5" customHeight="1">
      <c r="D598" s="11"/>
      <c r="E598" s="1"/>
      <c r="F598" s="7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4:26" ht="13.5" customHeight="1">
      <c r="D599" s="11"/>
      <c r="E599" s="1"/>
      <c r="F599" s="7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4:26" ht="13.5" customHeight="1">
      <c r="D600" s="11"/>
      <c r="E600" s="1"/>
      <c r="F600" s="7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4:26" ht="13.5" customHeight="1">
      <c r="D601" s="11"/>
      <c r="E601" s="1"/>
      <c r="F601" s="7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4:26" ht="13.5" customHeight="1">
      <c r="D602" s="11"/>
      <c r="E602" s="1"/>
      <c r="F602" s="7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4:26" ht="13.5" customHeight="1">
      <c r="D603" s="11"/>
      <c r="E603" s="1"/>
      <c r="F603" s="7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4:26" ht="13.5" customHeight="1">
      <c r="D604" s="11"/>
      <c r="E604" s="1"/>
      <c r="F604" s="7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4:26" ht="13.5" customHeight="1">
      <c r="D605" s="11"/>
      <c r="E605" s="1"/>
      <c r="F605" s="7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4:26" ht="13.5" customHeight="1">
      <c r="D606" s="11"/>
      <c r="E606" s="1"/>
      <c r="F606" s="7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4:26" ht="13.5" customHeight="1">
      <c r="D607" s="11"/>
      <c r="E607" s="1"/>
      <c r="F607" s="7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4:26" ht="13.5" customHeight="1">
      <c r="D608" s="11"/>
      <c r="E608" s="1"/>
      <c r="F608" s="7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4:26" ht="13.5" customHeight="1">
      <c r="D609" s="11"/>
      <c r="E609" s="1"/>
      <c r="F609" s="7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4:26" ht="13.5" customHeight="1">
      <c r="D610" s="11"/>
      <c r="E610" s="1"/>
      <c r="F610" s="7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4:26" ht="13.5" customHeight="1">
      <c r="D611" s="11"/>
      <c r="E611" s="1"/>
      <c r="F611" s="7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4:26" ht="13.5" customHeight="1">
      <c r="D612" s="11"/>
      <c r="E612" s="1"/>
      <c r="F612" s="7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4:26" ht="13.5" customHeight="1">
      <c r="D613" s="11"/>
      <c r="E613" s="1"/>
      <c r="F613" s="7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4:26" ht="13.5" customHeight="1">
      <c r="D614" s="11"/>
      <c r="E614" s="1"/>
      <c r="F614" s="7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4:26" ht="13.5" customHeight="1">
      <c r="D615" s="11"/>
      <c r="E615" s="1"/>
      <c r="F615" s="7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4:26" ht="13.5" customHeight="1">
      <c r="D616" s="11"/>
      <c r="E616" s="1"/>
      <c r="F616" s="7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4:26" ht="13.5" customHeight="1">
      <c r="D617" s="11"/>
      <c r="E617" s="1"/>
      <c r="F617" s="7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4:26" ht="13.5" customHeight="1">
      <c r="D618" s="11"/>
      <c r="E618" s="1"/>
      <c r="F618" s="7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4:26" ht="13.5" customHeight="1">
      <c r="D619" s="11"/>
      <c r="E619" s="1"/>
      <c r="F619" s="7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4:26" ht="13.5" customHeight="1">
      <c r="D620" s="11"/>
      <c r="E620" s="1"/>
      <c r="F620" s="7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4:26" ht="13.5" customHeight="1">
      <c r="D621" s="11"/>
      <c r="E621" s="1"/>
      <c r="F621" s="7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4:26" ht="13.5" customHeight="1">
      <c r="D622" s="11"/>
      <c r="E622" s="1"/>
      <c r="F622" s="7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4:26" ht="13.5" customHeight="1">
      <c r="D623" s="11"/>
      <c r="E623" s="1"/>
      <c r="F623" s="7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4:26" ht="13.5" customHeight="1">
      <c r="D624" s="11"/>
      <c r="E624" s="1"/>
      <c r="F624" s="7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4:26" ht="13.5" customHeight="1">
      <c r="D625" s="11"/>
      <c r="E625" s="1"/>
      <c r="F625" s="7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4:26" ht="13.5" customHeight="1">
      <c r="D626" s="11"/>
      <c r="E626" s="1"/>
      <c r="F626" s="7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4:26" ht="13.5" customHeight="1">
      <c r="D627" s="11"/>
      <c r="E627" s="1"/>
      <c r="F627" s="7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4:26" ht="13.5" customHeight="1">
      <c r="D628" s="11"/>
      <c r="E628" s="1"/>
      <c r="F628" s="7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4:26" ht="13.5" customHeight="1">
      <c r="D629" s="11"/>
      <c r="E629" s="1"/>
      <c r="F629" s="7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4:26" ht="13.5" customHeight="1">
      <c r="D630" s="11"/>
      <c r="E630" s="1"/>
      <c r="F630" s="7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4:26" ht="13.5" customHeight="1">
      <c r="D631" s="11"/>
      <c r="E631" s="1"/>
      <c r="F631" s="7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4:26" ht="13.5" customHeight="1">
      <c r="D632" s="11"/>
      <c r="E632" s="1"/>
      <c r="F632" s="7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4:26" ht="13.5" customHeight="1">
      <c r="D633" s="11"/>
      <c r="E633" s="1"/>
      <c r="F633" s="7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4:26" ht="13.5" customHeight="1">
      <c r="D634" s="11"/>
      <c r="E634" s="1"/>
      <c r="F634" s="7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4:26" ht="13.5" customHeight="1">
      <c r="D635" s="11"/>
      <c r="E635" s="1"/>
      <c r="F635" s="7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4:26" ht="13.5" customHeight="1">
      <c r="D636" s="11"/>
      <c r="E636" s="1"/>
      <c r="F636" s="7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4:26" ht="13.5" customHeight="1">
      <c r="D637" s="11"/>
      <c r="E637" s="1"/>
      <c r="F637" s="7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4:26" ht="13.5" customHeight="1">
      <c r="D638" s="11"/>
      <c r="E638" s="1"/>
      <c r="F638" s="7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4:26" ht="13.5" customHeight="1">
      <c r="D639" s="11"/>
      <c r="E639" s="1"/>
      <c r="F639" s="7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4:26" ht="13.5" customHeight="1">
      <c r="D640" s="11"/>
      <c r="E640" s="1"/>
      <c r="F640" s="7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4:26" ht="13.5" customHeight="1">
      <c r="D641" s="11"/>
      <c r="E641" s="1"/>
      <c r="F641" s="7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4:26" ht="13.5" customHeight="1">
      <c r="D642" s="11"/>
      <c r="E642" s="1"/>
      <c r="F642" s="7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4:26" ht="13.5" customHeight="1">
      <c r="D643" s="11"/>
      <c r="E643" s="1"/>
      <c r="F643" s="7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4:26" ht="13.5" customHeight="1">
      <c r="D644" s="11"/>
      <c r="E644" s="1"/>
      <c r="F644" s="7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4:26" ht="13.5" customHeight="1">
      <c r="D645" s="11"/>
      <c r="E645" s="1"/>
      <c r="F645" s="7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4:26" ht="13.5" customHeight="1">
      <c r="D646" s="11"/>
      <c r="E646" s="1"/>
      <c r="F646" s="7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4:26" ht="13.5" customHeight="1">
      <c r="D647" s="11"/>
      <c r="E647" s="1"/>
      <c r="F647" s="7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4:26" ht="13.5" customHeight="1">
      <c r="D648" s="11"/>
      <c r="E648" s="1"/>
      <c r="F648" s="7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4:26" ht="13.5" customHeight="1">
      <c r="D649" s="11"/>
      <c r="E649" s="1"/>
      <c r="F649" s="7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4:26" ht="13.5" customHeight="1">
      <c r="D650" s="11"/>
      <c r="E650" s="1"/>
      <c r="F650" s="7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4:26" ht="13.5" customHeight="1">
      <c r="D651" s="11"/>
      <c r="E651" s="1"/>
      <c r="F651" s="7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4:26" ht="13.5" customHeight="1">
      <c r="D652" s="11"/>
      <c r="E652" s="1"/>
      <c r="F652" s="7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4:26" ht="13.5" customHeight="1">
      <c r="D653" s="11"/>
      <c r="E653" s="1"/>
      <c r="F653" s="7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4:26" ht="13.5" customHeight="1">
      <c r="D654" s="11"/>
      <c r="E654" s="1"/>
      <c r="F654" s="7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4:26" ht="13.5" customHeight="1">
      <c r="D655" s="11"/>
      <c r="E655" s="1"/>
      <c r="F655" s="7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4:26" ht="13.5" customHeight="1">
      <c r="D656" s="11"/>
      <c r="E656" s="1"/>
      <c r="F656" s="7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4:26" ht="13.5" customHeight="1">
      <c r="D657" s="11"/>
      <c r="E657" s="1"/>
      <c r="F657" s="7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4:26" ht="13.5" customHeight="1">
      <c r="D658" s="11"/>
      <c r="E658" s="1"/>
      <c r="F658" s="7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4:26" ht="13.5" customHeight="1">
      <c r="D659" s="11"/>
      <c r="E659" s="1"/>
      <c r="F659" s="7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4:26" ht="13.5" customHeight="1">
      <c r="D660" s="11"/>
      <c r="E660" s="1"/>
      <c r="F660" s="7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4:26" ht="13.5" customHeight="1">
      <c r="D661" s="11"/>
      <c r="E661" s="1"/>
      <c r="F661" s="7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4:26" ht="13.5" customHeight="1">
      <c r="D662" s="11"/>
      <c r="E662" s="1"/>
      <c r="F662" s="7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4:26" ht="13.5" customHeight="1">
      <c r="D663" s="11"/>
      <c r="E663" s="1"/>
      <c r="F663" s="7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4:26" ht="13.5" customHeight="1">
      <c r="D664" s="11"/>
      <c r="E664" s="1"/>
      <c r="F664" s="7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4:26" ht="13.5" customHeight="1">
      <c r="D665" s="11"/>
      <c r="E665" s="1"/>
      <c r="F665" s="7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4:26" ht="13.5" customHeight="1">
      <c r="D666" s="11"/>
      <c r="E666" s="1"/>
      <c r="F666" s="7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4:26" ht="13.5" customHeight="1">
      <c r="D667" s="11"/>
      <c r="E667" s="1"/>
      <c r="F667" s="7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4:26" ht="13.5" customHeight="1">
      <c r="D668" s="11"/>
      <c r="E668" s="1"/>
      <c r="F668" s="7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4:26" ht="13.5" customHeight="1">
      <c r="D669" s="11"/>
      <c r="E669" s="1"/>
      <c r="F669" s="7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4:26" ht="13.5" customHeight="1">
      <c r="D670" s="11"/>
      <c r="E670" s="1"/>
      <c r="F670" s="7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4:26" ht="13.5" customHeight="1">
      <c r="D671" s="11"/>
      <c r="E671" s="1"/>
      <c r="F671" s="7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4:26" ht="13.5" customHeight="1">
      <c r="D672" s="11"/>
      <c r="E672" s="1"/>
      <c r="F672" s="7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4:26" ht="13.5" customHeight="1">
      <c r="D673" s="11"/>
      <c r="E673" s="1"/>
      <c r="F673" s="7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4:26" ht="13.5" customHeight="1">
      <c r="D674" s="11"/>
      <c r="E674" s="1"/>
      <c r="F674" s="7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4:26" ht="13.5" customHeight="1">
      <c r="D675" s="11"/>
      <c r="E675" s="1"/>
      <c r="F675" s="7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4:26" ht="13.5" customHeight="1">
      <c r="D676" s="11"/>
      <c r="E676" s="1"/>
      <c r="F676" s="7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4:26" ht="13.5" customHeight="1">
      <c r="D677" s="11"/>
      <c r="E677" s="1"/>
      <c r="F677" s="7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4:26" ht="13.5" customHeight="1">
      <c r="D678" s="11"/>
      <c r="E678" s="1"/>
      <c r="F678" s="7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4:26" ht="13.5" customHeight="1">
      <c r="D679" s="11"/>
      <c r="E679" s="1"/>
      <c r="F679" s="7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4:26" ht="13.5" customHeight="1">
      <c r="D680" s="11"/>
      <c r="E680" s="1"/>
      <c r="F680" s="7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4:26" ht="13.5" customHeight="1">
      <c r="D681" s="11"/>
      <c r="E681" s="1"/>
      <c r="F681" s="7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4:26" ht="13.5" customHeight="1">
      <c r="D682" s="11"/>
      <c r="E682" s="1"/>
      <c r="F682" s="7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4:26" ht="13.5" customHeight="1">
      <c r="D683" s="11"/>
      <c r="E683" s="1"/>
      <c r="F683" s="7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4:26" ht="13.5" customHeight="1">
      <c r="D684" s="11"/>
      <c r="E684" s="1"/>
      <c r="F684" s="7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4:26" ht="13.5" customHeight="1">
      <c r="D685" s="11"/>
      <c r="E685" s="1"/>
      <c r="F685" s="7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4:26" ht="13.5" customHeight="1">
      <c r="D686" s="11"/>
      <c r="E686" s="1"/>
      <c r="F686" s="7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4:26" ht="13.5" customHeight="1">
      <c r="D687" s="11"/>
      <c r="E687" s="1"/>
      <c r="F687" s="7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4:26" ht="13.5" customHeight="1">
      <c r="D688" s="11"/>
      <c r="E688" s="1"/>
      <c r="F688" s="7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4:26" ht="13.5" customHeight="1">
      <c r="D689" s="11"/>
      <c r="E689" s="1"/>
      <c r="F689" s="7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4:26" ht="13.5" customHeight="1">
      <c r="D690" s="11"/>
      <c r="E690" s="1"/>
      <c r="F690" s="7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4:26" ht="13.5" customHeight="1">
      <c r="D691" s="11"/>
      <c r="E691" s="1"/>
      <c r="F691" s="7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4:26" ht="13.5" customHeight="1">
      <c r="D692" s="11"/>
      <c r="E692" s="1"/>
      <c r="F692" s="7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4:26" ht="13.5" customHeight="1">
      <c r="D693" s="11"/>
      <c r="E693" s="1"/>
      <c r="F693" s="7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4:26" ht="13.5" customHeight="1">
      <c r="D694" s="11"/>
      <c r="E694" s="1"/>
      <c r="F694" s="7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4:26" ht="13.5" customHeight="1">
      <c r="D695" s="11"/>
      <c r="E695" s="1"/>
      <c r="F695" s="7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4:26" ht="13.5" customHeight="1">
      <c r="D696" s="11"/>
      <c r="E696" s="1"/>
      <c r="F696" s="7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4:26" ht="13.5" customHeight="1">
      <c r="D697" s="11"/>
      <c r="E697" s="1"/>
      <c r="F697" s="7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4:26" ht="13.5" customHeight="1">
      <c r="D698" s="11"/>
      <c r="E698" s="1"/>
      <c r="F698" s="7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4:26" ht="13.5" customHeight="1">
      <c r="D699" s="11"/>
      <c r="E699" s="1"/>
      <c r="F699" s="7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4:26" ht="13.5" customHeight="1">
      <c r="D700" s="11"/>
      <c r="E700" s="1"/>
      <c r="F700" s="7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4:26" ht="13.5" customHeight="1">
      <c r="D701" s="11"/>
      <c r="E701" s="1"/>
      <c r="F701" s="7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4:26" ht="13.5" customHeight="1">
      <c r="D702" s="11"/>
      <c r="E702" s="1"/>
      <c r="F702" s="7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4:26" ht="13.5" customHeight="1">
      <c r="D703" s="11"/>
      <c r="E703" s="1"/>
      <c r="F703" s="7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4:26" ht="13.5" customHeight="1">
      <c r="D704" s="11"/>
      <c r="E704" s="1"/>
      <c r="F704" s="7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4:26" ht="13.5" customHeight="1">
      <c r="D705" s="11"/>
      <c r="E705" s="1"/>
      <c r="F705" s="7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4:26" ht="13.5" customHeight="1">
      <c r="D706" s="11"/>
      <c r="E706" s="1"/>
      <c r="F706" s="7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4:26" ht="13.5" customHeight="1">
      <c r="D707" s="11"/>
      <c r="E707" s="1"/>
      <c r="F707" s="7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4:26" ht="13.5" customHeight="1">
      <c r="D708" s="11"/>
      <c r="E708" s="1"/>
      <c r="F708" s="7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4:26" ht="13.5" customHeight="1">
      <c r="D709" s="11"/>
      <c r="E709" s="1"/>
      <c r="F709" s="7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4:26" ht="13.5" customHeight="1">
      <c r="D710" s="11"/>
      <c r="E710" s="1"/>
      <c r="F710" s="7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4:26" ht="13.5" customHeight="1">
      <c r="D711" s="11"/>
      <c r="E711" s="1"/>
      <c r="F711" s="7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4:26" ht="13.5" customHeight="1">
      <c r="D712" s="11"/>
      <c r="E712" s="1"/>
      <c r="F712" s="7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4:26" ht="13.5" customHeight="1">
      <c r="D713" s="11"/>
      <c r="E713" s="1"/>
      <c r="F713" s="7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4:26" ht="13.5" customHeight="1">
      <c r="D714" s="11"/>
      <c r="E714" s="1"/>
      <c r="F714" s="7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4:26" ht="13.5" customHeight="1">
      <c r="D715" s="11"/>
      <c r="E715" s="1"/>
      <c r="F715" s="7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4:26" ht="13.5" customHeight="1">
      <c r="D716" s="11"/>
      <c r="E716" s="1"/>
      <c r="F716" s="7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4:26" ht="13.5" customHeight="1">
      <c r="D717" s="11"/>
      <c r="E717" s="1"/>
      <c r="F717" s="7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4:26" ht="13.5" customHeight="1">
      <c r="D718" s="11"/>
      <c r="E718" s="1"/>
      <c r="F718" s="7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4:26" ht="13.5" customHeight="1">
      <c r="D719" s="11"/>
      <c r="E719" s="1"/>
      <c r="F719" s="7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4:26" ht="13.5" customHeight="1">
      <c r="D720" s="11"/>
      <c r="E720" s="1"/>
      <c r="F720" s="7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4:26" ht="13.5" customHeight="1">
      <c r="D721" s="11"/>
      <c r="E721" s="1"/>
      <c r="F721" s="7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4:26" ht="13.5" customHeight="1">
      <c r="D722" s="11"/>
      <c r="E722" s="1"/>
      <c r="F722" s="7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4:26" ht="13.5" customHeight="1">
      <c r="D723" s="11"/>
      <c r="E723" s="1"/>
      <c r="F723" s="7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4:26" ht="13.5" customHeight="1">
      <c r="D724" s="11"/>
      <c r="E724" s="1"/>
      <c r="F724" s="7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4:26" ht="13.5" customHeight="1">
      <c r="D725" s="11"/>
      <c r="E725" s="1"/>
      <c r="F725" s="7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4:26" ht="13.5" customHeight="1">
      <c r="D726" s="11"/>
      <c r="E726" s="1"/>
      <c r="F726" s="7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4:26" ht="13.5" customHeight="1">
      <c r="D727" s="11"/>
      <c r="E727" s="1"/>
      <c r="F727" s="7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4:26" ht="13.5" customHeight="1">
      <c r="D728" s="11"/>
      <c r="E728" s="1"/>
      <c r="F728" s="7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4:26" ht="13.5" customHeight="1">
      <c r="D729" s="11"/>
      <c r="E729" s="1"/>
      <c r="F729" s="7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4:26" ht="13.5" customHeight="1">
      <c r="D730" s="11"/>
      <c r="E730" s="1"/>
      <c r="F730" s="7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4:26" ht="13.5" customHeight="1">
      <c r="D731" s="11"/>
      <c r="E731" s="1"/>
      <c r="F731" s="7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4:26" ht="13.5" customHeight="1">
      <c r="D732" s="11"/>
      <c r="E732" s="1"/>
      <c r="F732" s="7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4:26" ht="13.5" customHeight="1">
      <c r="D733" s="11"/>
      <c r="E733" s="1"/>
      <c r="F733" s="7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4:26" ht="13.5" customHeight="1">
      <c r="D734" s="11"/>
      <c r="E734" s="1"/>
      <c r="F734" s="7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4:26" ht="13.5" customHeight="1">
      <c r="D735" s="11"/>
      <c r="E735" s="1"/>
      <c r="F735" s="7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4:26" ht="13.5" customHeight="1">
      <c r="D736" s="11"/>
      <c r="E736" s="1"/>
      <c r="F736" s="7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4:26" ht="13.5" customHeight="1">
      <c r="D737" s="11"/>
      <c r="E737" s="1"/>
      <c r="F737" s="7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4:26" ht="13.5" customHeight="1">
      <c r="D738" s="11"/>
      <c r="E738" s="1"/>
      <c r="F738" s="7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4:26" ht="13.5" customHeight="1">
      <c r="D739" s="11"/>
      <c r="E739" s="1"/>
      <c r="F739" s="7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4:26" ht="13.5" customHeight="1">
      <c r="D740" s="11"/>
      <c r="E740" s="1"/>
      <c r="F740" s="7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4:26" ht="13.5" customHeight="1">
      <c r="D741" s="11"/>
      <c r="E741" s="1"/>
      <c r="F741" s="7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4:26" ht="13.5" customHeight="1">
      <c r="D742" s="11"/>
      <c r="E742" s="1"/>
      <c r="F742" s="7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4:26" ht="13.5" customHeight="1">
      <c r="D743" s="11"/>
      <c r="E743" s="1"/>
      <c r="F743" s="7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4:26" ht="13.5" customHeight="1">
      <c r="D744" s="11"/>
      <c r="E744" s="1"/>
      <c r="F744" s="7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4:26" ht="13.5" customHeight="1">
      <c r="D745" s="11"/>
      <c r="E745" s="1"/>
      <c r="F745" s="7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4:26" ht="13.5" customHeight="1">
      <c r="D746" s="11"/>
      <c r="E746" s="1"/>
      <c r="F746" s="7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4:26" ht="13.5" customHeight="1">
      <c r="D747" s="11"/>
      <c r="E747" s="1"/>
      <c r="F747" s="7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4:26" ht="13.5" customHeight="1">
      <c r="D748" s="11"/>
      <c r="E748" s="1"/>
      <c r="F748" s="7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4:26" ht="13.5" customHeight="1">
      <c r="D749" s="11"/>
      <c r="E749" s="1"/>
      <c r="F749" s="7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4:26" ht="13.5" customHeight="1">
      <c r="D750" s="11"/>
      <c r="E750" s="1"/>
      <c r="F750" s="7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4:26" ht="13.5" customHeight="1">
      <c r="D751" s="11"/>
      <c r="E751" s="1"/>
      <c r="F751" s="7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4:26" ht="13.5" customHeight="1">
      <c r="D752" s="11"/>
      <c r="E752" s="1"/>
      <c r="F752" s="7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4:26" ht="13.5" customHeight="1">
      <c r="D753" s="11"/>
      <c r="E753" s="1"/>
      <c r="F753" s="7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4:26" ht="13.5" customHeight="1">
      <c r="D754" s="11"/>
      <c r="E754" s="1"/>
      <c r="F754" s="7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4:26" ht="13.5" customHeight="1">
      <c r="D755" s="11"/>
      <c r="E755" s="1"/>
      <c r="F755" s="7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4:26" ht="13.5" customHeight="1">
      <c r="D756" s="11"/>
      <c r="E756" s="1"/>
      <c r="F756" s="7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4:26" ht="13.5" customHeight="1">
      <c r="D757" s="11"/>
      <c r="E757" s="1"/>
      <c r="F757" s="7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4:26" ht="13.5" customHeight="1">
      <c r="D758" s="11"/>
      <c r="E758" s="1"/>
      <c r="F758" s="7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4:26" ht="13.5" customHeight="1">
      <c r="D759" s="11"/>
      <c r="E759" s="1"/>
      <c r="F759" s="7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4:26" ht="13.5" customHeight="1">
      <c r="D760" s="11"/>
      <c r="E760" s="1"/>
      <c r="F760" s="7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4:26" ht="13.5" customHeight="1">
      <c r="D761" s="11"/>
      <c r="E761" s="1"/>
      <c r="F761" s="7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4:26" ht="13.5" customHeight="1">
      <c r="D762" s="11"/>
      <c r="E762" s="1"/>
      <c r="F762" s="7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4:26" ht="13.5" customHeight="1">
      <c r="D763" s="11"/>
      <c r="E763" s="1"/>
      <c r="F763" s="7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4:26" ht="13.5" customHeight="1">
      <c r="D764" s="11"/>
      <c r="E764" s="1"/>
      <c r="F764" s="7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4:26" ht="13.5" customHeight="1">
      <c r="D765" s="11"/>
      <c r="E765" s="1"/>
      <c r="F765" s="7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4:26" ht="13.5" customHeight="1">
      <c r="D766" s="11"/>
      <c r="E766" s="1"/>
      <c r="F766" s="7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4:26" ht="13.5" customHeight="1">
      <c r="D767" s="11"/>
      <c r="E767" s="1"/>
      <c r="F767" s="7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4:26" ht="13.5" customHeight="1">
      <c r="D768" s="11"/>
      <c r="E768" s="1"/>
      <c r="F768" s="7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4:26" ht="13.5" customHeight="1">
      <c r="D769" s="11"/>
      <c r="E769" s="1"/>
      <c r="F769" s="7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4:26" ht="13.5" customHeight="1">
      <c r="D770" s="11"/>
      <c r="E770" s="1"/>
      <c r="F770" s="7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4:26" ht="13.5" customHeight="1">
      <c r="D771" s="11"/>
      <c r="E771" s="1"/>
      <c r="F771" s="7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4:26" ht="13.5" customHeight="1">
      <c r="D772" s="11"/>
      <c r="E772" s="1"/>
      <c r="F772" s="7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4:26" ht="13.5" customHeight="1">
      <c r="D773" s="11"/>
      <c r="E773" s="1"/>
      <c r="F773" s="7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4:26" ht="13.5" customHeight="1">
      <c r="D774" s="11"/>
      <c r="E774" s="1"/>
      <c r="F774" s="7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4:26" ht="13.5" customHeight="1">
      <c r="D775" s="11"/>
      <c r="E775" s="1"/>
      <c r="F775" s="7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4:26" ht="13.5" customHeight="1">
      <c r="D776" s="11"/>
      <c r="E776" s="1"/>
      <c r="F776" s="7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4:26" ht="13.5" customHeight="1">
      <c r="D777" s="11"/>
      <c r="E777" s="1"/>
      <c r="F777" s="7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4:26" ht="13.5" customHeight="1">
      <c r="D778" s="11"/>
      <c r="E778" s="1"/>
      <c r="F778" s="7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4:26" ht="13.5" customHeight="1">
      <c r="D779" s="11"/>
      <c r="E779" s="1"/>
      <c r="F779" s="7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4:26" ht="13.5" customHeight="1">
      <c r="D780" s="11"/>
      <c r="E780" s="1"/>
      <c r="F780" s="7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4:26" ht="13.5" customHeight="1">
      <c r="D781" s="11"/>
      <c r="E781" s="1"/>
      <c r="F781" s="7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4:26" ht="13.5" customHeight="1">
      <c r="D782" s="11"/>
      <c r="E782" s="1"/>
      <c r="F782" s="7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4:26" ht="13.5" customHeight="1">
      <c r="D783" s="11"/>
      <c r="E783" s="1"/>
      <c r="F783" s="7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4:26" ht="13.5" customHeight="1">
      <c r="D784" s="11"/>
      <c r="E784" s="1"/>
      <c r="F784" s="7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4:26" ht="13.5" customHeight="1">
      <c r="D785" s="11"/>
      <c r="E785" s="1"/>
      <c r="F785" s="7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4:26" ht="13.5" customHeight="1">
      <c r="D786" s="11"/>
      <c r="E786" s="1"/>
      <c r="F786" s="7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4:26" ht="13.5" customHeight="1">
      <c r="D787" s="11"/>
      <c r="E787" s="1"/>
      <c r="F787" s="7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4:26" ht="13.5" customHeight="1">
      <c r="D788" s="11"/>
      <c r="E788" s="1"/>
      <c r="F788" s="7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4:26" ht="13.5" customHeight="1">
      <c r="D789" s="11"/>
      <c r="E789" s="1"/>
      <c r="F789" s="7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4:26" ht="13.5" customHeight="1">
      <c r="D790" s="11"/>
      <c r="E790" s="1"/>
      <c r="F790" s="7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4:26" ht="13.5" customHeight="1">
      <c r="D791" s="11"/>
      <c r="E791" s="1"/>
      <c r="F791" s="7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4:26" ht="13.5" customHeight="1">
      <c r="D792" s="11"/>
      <c r="E792" s="1"/>
      <c r="F792" s="7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4:26" ht="13.5" customHeight="1">
      <c r="D793" s="11"/>
      <c r="E793" s="1"/>
      <c r="F793" s="7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4:26" ht="13.5" customHeight="1">
      <c r="D794" s="11"/>
      <c r="E794" s="1"/>
      <c r="F794" s="7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4:26" ht="13.5" customHeight="1">
      <c r="D795" s="11"/>
      <c r="E795" s="1"/>
      <c r="F795" s="7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4:26" ht="13.5" customHeight="1">
      <c r="D796" s="11"/>
      <c r="E796" s="1"/>
      <c r="F796" s="7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4:26" ht="13.5" customHeight="1">
      <c r="D797" s="11"/>
      <c r="E797" s="1"/>
      <c r="F797" s="7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4:26" ht="13.5" customHeight="1">
      <c r="D798" s="11"/>
      <c r="E798" s="1"/>
      <c r="F798" s="7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4:26" ht="13.5" customHeight="1">
      <c r="D799" s="11"/>
      <c r="E799" s="1"/>
      <c r="F799" s="7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4:26" ht="13.5" customHeight="1">
      <c r="D800" s="11"/>
      <c r="E800" s="1"/>
      <c r="F800" s="7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4:26" ht="13.5" customHeight="1">
      <c r="D801" s="11"/>
      <c r="E801" s="1"/>
      <c r="F801" s="7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4:26" ht="13.5" customHeight="1">
      <c r="D802" s="11"/>
      <c r="E802" s="1"/>
      <c r="F802" s="7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4:26" ht="13.5" customHeight="1">
      <c r="D803" s="11"/>
      <c r="E803" s="1"/>
      <c r="F803" s="7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4:26" ht="13.5" customHeight="1">
      <c r="D804" s="11"/>
      <c r="E804" s="1"/>
      <c r="F804" s="7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4:26" ht="13.5" customHeight="1">
      <c r="D805" s="11"/>
      <c r="E805" s="1"/>
      <c r="F805" s="7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4:26" ht="13.5" customHeight="1">
      <c r="D806" s="11"/>
      <c r="E806" s="1"/>
      <c r="F806" s="7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4:26" ht="13.5" customHeight="1">
      <c r="D807" s="11"/>
      <c r="E807" s="1"/>
      <c r="F807" s="7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4:26" ht="13.5" customHeight="1">
      <c r="D808" s="11"/>
      <c r="E808" s="1"/>
      <c r="F808" s="7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4:26" ht="13.5" customHeight="1">
      <c r="D809" s="11"/>
      <c r="E809" s="1"/>
      <c r="F809" s="7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4:26" ht="13.5" customHeight="1">
      <c r="D810" s="11"/>
      <c r="E810" s="1"/>
      <c r="F810" s="7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4:26" ht="13.5" customHeight="1">
      <c r="D811" s="11"/>
      <c r="E811" s="1"/>
      <c r="F811" s="7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4:26" ht="13.5" customHeight="1">
      <c r="D812" s="11"/>
      <c r="E812" s="1"/>
      <c r="F812" s="7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4:26" ht="13.5" customHeight="1">
      <c r="D813" s="11"/>
      <c r="E813" s="1"/>
      <c r="F813" s="7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4:26" ht="13.5" customHeight="1">
      <c r="D814" s="11"/>
      <c r="E814" s="1"/>
      <c r="F814" s="7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4:26" ht="13.5" customHeight="1">
      <c r="D815" s="11"/>
      <c r="E815" s="1"/>
      <c r="F815" s="7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4:26" ht="13.5" customHeight="1">
      <c r="D816" s="11"/>
      <c r="E816" s="1"/>
      <c r="F816" s="7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4:26" ht="13.5" customHeight="1">
      <c r="D817" s="11"/>
      <c r="E817" s="1"/>
      <c r="F817" s="7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4:26" ht="13.5" customHeight="1">
      <c r="D818" s="11"/>
      <c r="E818" s="1"/>
      <c r="F818" s="7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4:26" ht="13.5" customHeight="1">
      <c r="D819" s="11"/>
      <c r="E819" s="1"/>
      <c r="F819" s="7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4:26" ht="13.5" customHeight="1">
      <c r="D820" s="11"/>
      <c r="E820" s="1"/>
      <c r="F820" s="7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4:26" ht="13.5" customHeight="1">
      <c r="D821" s="11"/>
      <c r="E821" s="1"/>
      <c r="F821" s="7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4:26" ht="13.5" customHeight="1">
      <c r="D822" s="11"/>
      <c r="E822" s="1"/>
      <c r="F822" s="7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4:26" ht="13.5" customHeight="1">
      <c r="D823" s="11"/>
      <c r="E823" s="1"/>
      <c r="F823" s="7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4:26" ht="13.5" customHeight="1">
      <c r="D824" s="11"/>
      <c r="E824" s="1"/>
      <c r="F824" s="7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4:26" ht="13.5" customHeight="1">
      <c r="D825" s="11"/>
      <c r="E825" s="1"/>
      <c r="F825" s="7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4:26" ht="13.5" customHeight="1">
      <c r="D826" s="11"/>
      <c r="E826" s="1"/>
      <c r="F826" s="7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4:26" ht="13.5" customHeight="1">
      <c r="D827" s="11"/>
      <c r="E827" s="1"/>
      <c r="F827" s="7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4:26" ht="13.5" customHeight="1">
      <c r="D828" s="11"/>
      <c r="E828" s="1"/>
      <c r="F828" s="7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4:26" ht="13.5" customHeight="1">
      <c r="D829" s="11"/>
      <c r="E829" s="1"/>
      <c r="F829" s="7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4:26" ht="13.5" customHeight="1">
      <c r="D830" s="11"/>
      <c r="E830" s="1"/>
      <c r="F830" s="7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4:26" ht="13.5" customHeight="1">
      <c r="D831" s="11"/>
      <c r="E831" s="1"/>
      <c r="F831" s="7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4:26" ht="13.5" customHeight="1">
      <c r="D832" s="11"/>
      <c r="E832" s="1"/>
      <c r="F832" s="7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4:26" ht="13.5" customHeight="1">
      <c r="D833" s="11"/>
      <c r="E833" s="1"/>
      <c r="F833" s="7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4:26" ht="13.5" customHeight="1">
      <c r="D834" s="11"/>
      <c r="E834" s="1"/>
      <c r="F834" s="7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4:26" ht="13.5" customHeight="1">
      <c r="D835" s="11"/>
      <c r="E835" s="1"/>
      <c r="F835" s="7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4:26" ht="13.5" customHeight="1">
      <c r="D836" s="11"/>
      <c r="E836" s="1"/>
      <c r="F836" s="7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4:26" ht="13.5" customHeight="1">
      <c r="D837" s="11"/>
      <c r="E837" s="1"/>
      <c r="F837" s="7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4:26" ht="13.5" customHeight="1">
      <c r="D838" s="11"/>
      <c r="E838" s="1"/>
      <c r="F838" s="7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4:26" ht="13.5" customHeight="1">
      <c r="D839" s="11"/>
      <c r="E839" s="1"/>
      <c r="F839" s="7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4:26" ht="13.5" customHeight="1">
      <c r="D840" s="11"/>
      <c r="E840" s="1"/>
      <c r="F840" s="7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4:26" ht="13.5" customHeight="1">
      <c r="D841" s="11"/>
      <c r="E841" s="1"/>
      <c r="F841" s="7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4:26" ht="13.5" customHeight="1">
      <c r="D842" s="11"/>
      <c r="E842" s="1"/>
      <c r="F842" s="7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4:26" ht="13.5" customHeight="1">
      <c r="D843" s="11"/>
      <c r="E843" s="1"/>
      <c r="F843" s="7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4:26" ht="13.5" customHeight="1">
      <c r="D844" s="11"/>
      <c r="E844" s="1"/>
      <c r="F844" s="7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4:26" ht="13.5" customHeight="1">
      <c r="D845" s="11"/>
      <c r="E845" s="1"/>
      <c r="F845" s="7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4:26" ht="13.5" customHeight="1">
      <c r="D846" s="11"/>
      <c r="E846" s="1"/>
      <c r="F846" s="7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4:26" ht="13.5" customHeight="1">
      <c r="D847" s="11"/>
      <c r="E847" s="1"/>
      <c r="F847" s="7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4:26" ht="13.5" customHeight="1">
      <c r="D848" s="11"/>
      <c r="E848" s="1"/>
      <c r="F848" s="7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4:26" ht="13.5" customHeight="1">
      <c r="D849" s="11"/>
      <c r="E849" s="1"/>
      <c r="F849" s="7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4:26" ht="13.5" customHeight="1">
      <c r="D850" s="11"/>
      <c r="E850" s="1"/>
      <c r="F850" s="7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4:26" ht="13.5" customHeight="1">
      <c r="D851" s="11"/>
      <c r="E851" s="1"/>
      <c r="F851" s="7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4:26" ht="13.5" customHeight="1">
      <c r="D852" s="11"/>
      <c r="E852" s="1"/>
      <c r="F852" s="7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4:26" ht="13.5" customHeight="1">
      <c r="D853" s="11"/>
      <c r="E853" s="1"/>
      <c r="F853" s="7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4:26" ht="13.5" customHeight="1">
      <c r="D854" s="11"/>
      <c r="E854" s="1"/>
      <c r="F854" s="7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4:26" ht="13.5" customHeight="1">
      <c r="D855" s="11"/>
      <c r="E855" s="1"/>
      <c r="F855" s="7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4:26" ht="13.5" customHeight="1">
      <c r="D856" s="11"/>
      <c r="E856" s="1"/>
      <c r="F856" s="7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4:26" ht="13.5" customHeight="1">
      <c r="D857" s="11"/>
      <c r="E857" s="1"/>
      <c r="F857" s="7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4:26" ht="13.5" customHeight="1">
      <c r="D858" s="11"/>
      <c r="E858" s="1"/>
      <c r="F858" s="7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4:26" ht="13.5" customHeight="1">
      <c r="D859" s="11"/>
      <c r="E859" s="1"/>
      <c r="F859" s="7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4:26" ht="13.5" customHeight="1">
      <c r="D860" s="11"/>
      <c r="E860" s="1"/>
      <c r="F860" s="7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4:26" ht="13.5" customHeight="1">
      <c r="D861" s="11"/>
      <c r="E861" s="1"/>
      <c r="F861" s="7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4:26" ht="13.5" customHeight="1">
      <c r="D862" s="11"/>
      <c r="E862" s="1"/>
      <c r="F862" s="7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4:26" ht="13.5" customHeight="1">
      <c r="D863" s="11"/>
      <c r="E863" s="1"/>
      <c r="F863" s="7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4:26" ht="13.5" customHeight="1">
      <c r="D864" s="11"/>
      <c r="E864" s="1"/>
      <c r="F864" s="7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4:26" ht="13.5" customHeight="1">
      <c r="D865" s="11"/>
      <c r="E865" s="1"/>
      <c r="F865" s="7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4:26" ht="13.5" customHeight="1">
      <c r="D866" s="11"/>
      <c r="E866" s="1"/>
      <c r="F866" s="7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4:26" ht="13.5" customHeight="1">
      <c r="D867" s="11"/>
      <c r="E867" s="1"/>
      <c r="F867" s="7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4:26" ht="13.5" customHeight="1">
      <c r="D868" s="11"/>
      <c r="E868" s="1"/>
      <c r="F868" s="7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4:26" ht="13.5" customHeight="1">
      <c r="D869" s="11"/>
      <c r="E869" s="1"/>
      <c r="F869" s="7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4:26" ht="13.5" customHeight="1">
      <c r="D870" s="11"/>
      <c r="E870" s="1"/>
      <c r="F870" s="7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4:26" ht="13.5" customHeight="1">
      <c r="D871" s="11"/>
      <c r="E871" s="1"/>
      <c r="F871" s="7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4:26" ht="13.5" customHeight="1">
      <c r="D872" s="11"/>
      <c r="E872" s="1"/>
      <c r="F872" s="7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4:26" ht="13.5" customHeight="1">
      <c r="D873" s="11"/>
      <c r="E873" s="1"/>
      <c r="F873" s="7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4:26" ht="13.5" customHeight="1">
      <c r="D874" s="11"/>
      <c r="E874" s="1"/>
      <c r="F874" s="7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4:26" ht="13.5" customHeight="1">
      <c r="D875" s="11"/>
      <c r="E875" s="1"/>
      <c r="F875" s="7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4:26" ht="13.5" customHeight="1">
      <c r="D876" s="11"/>
      <c r="E876" s="1"/>
      <c r="F876" s="7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4:26" ht="13.5" customHeight="1">
      <c r="D877" s="11"/>
      <c r="E877" s="1"/>
      <c r="F877" s="7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4:26" ht="13.5" customHeight="1">
      <c r="D878" s="11"/>
      <c r="E878" s="1"/>
      <c r="F878" s="7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4:26" ht="13.5" customHeight="1">
      <c r="D879" s="11"/>
      <c r="E879" s="1"/>
      <c r="F879" s="7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4:26" ht="13.5" customHeight="1">
      <c r="D880" s="11"/>
      <c r="E880" s="1"/>
      <c r="F880" s="7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4:26" ht="13.5" customHeight="1">
      <c r="D881" s="11"/>
      <c r="E881" s="1"/>
      <c r="F881" s="7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4:26" ht="13.5" customHeight="1">
      <c r="D882" s="11"/>
      <c r="E882" s="1"/>
      <c r="F882" s="7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4:26" ht="13.5" customHeight="1">
      <c r="D883" s="11"/>
      <c r="E883" s="1"/>
      <c r="F883" s="7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4:26" ht="13.5" customHeight="1">
      <c r="D884" s="11"/>
      <c r="E884" s="1"/>
      <c r="F884" s="7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4:26" ht="13.5" customHeight="1">
      <c r="D885" s="11"/>
      <c r="E885" s="1"/>
      <c r="F885" s="7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4:26" ht="13.5" customHeight="1">
      <c r="D886" s="11"/>
      <c r="E886" s="1"/>
      <c r="F886" s="7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4:26" ht="13.5" customHeight="1">
      <c r="D887" s="11"/>
      <c r="E887" s="1"/>
      <c r="F887" s="7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4:26" ht="13.5" customHeight="1">
      <c r="D888" s="11"/>
      <c r="E888" s="1"/>
      <c r="F888" s="7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4:26" ht="13.5" customHeight="1">
      <c r="D889" s="11"/>
      <c r="E889" s="1"/>
      <c r="F889" s="7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</sheetData>
  <autoFilter ref="A4:E17" xr:uid="{00000000-0009-0000-0000-000009000000}"/>
  <conditionalFormatting sqref="A82:C82">
    <cfRule type="duplicateValues" dxfId="12" priority="14"/>
  </conditionalFormatting>
  <conditionalFormatting sqref="A6:D6">
    <cfRule type="duplicateValues" dxfId="11" priority="16"/>
  </conditionalFormatting>
  <conditionalFormatting sqref="A25:D25">
    <cfRule type="duplicateValues" dxfId="10" priority="18"/>
  </conditionalFormatting>
  <conditionalFormatting sqref="A44:D44">
    <cfRule type="duplicateValues" dxfId="9" priority="20"/>
  </conditionalFormatting>
  <conditionalFormatting sqref="A63:D63">
    <cfRule type="duplicateValues" dxfId="8" priority="22"/>
  </conditionalFormatting>
  <conditionalFormatting sqref="A101:D101">
    <cfRule type="duplicateValues" dxfId="7" priority="24"/>
  </conditionalFormatting>
  <conditionalFormatting sqref="D82">
    <cfRule type="duplicateValues" dxfId="6" priority="11"/>
  </conditionalFormatting>
  <conditionalFormatting sqref="E6:G6">
    <cfRule type="duplicateValues" dxfId="5" priority="7"/>
  </conditionalFormatting>
  <conditionalFormatting sqref="E25:G25">
    <cfRule type="duplicateValues" dxfId="4" priority="6"/>
  </conditionalFormatting>
  <conditionalFormatting sqref="E44:G44">
    <cfRule type="duplicateValues" dxfId="3" priority="3"/>
  </conditionalFormatting>
  <conditionalFormatting sqref="E63:G63">
    <cfRule type="duplicateValues" dxfId="2" priority="5"/>
  </conditionalFormatting>
  <conditionalFormatting sqref="E82:G82">
    <cfRule type="duplicateValues" dxfId="1" priority="4"/>
  </conditionalFormatting>
  <conditionalFormatting sqref="E101:G101">
    <cfRule type="duplicateValues" dxfId="0" priority="2"/>
  </conditionalFormatting>
  <pageMargins left="0.69930555555555596" right="0.69930555555555596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"/>
  <dimension ref="A1:Y967"/>
  <sheetViews>
    <sheetView workbookViewId="0">
      <selection activeCell="E4" sqref="E4"/>
    </sheetView>
  </sheetViews>
  <sheetFormatPr defaultColWidth="12.59765625" defaultRowHeight="15" customHeight="1"/>
  <cols>
    <col min="1" max="1" width="10.796875" style="69" customWidth="1"/>
    <col min="2" max="2" width="37.59765625" style="69" customWidth="1"/>
    <col min="3" max="3" width="17.296875" style="69" customWidth="1"/>
    <col min="4" max="4" width="12" style="69" customWidth="1"/>
    <col min="5" max="5" width="11.296875" style="69" customWidth="1"/>
    <col min="6" max="6" width="8.69921875" style="69" customWidth="1"/>
    <col min="7" max="7" width="22.19921875" style="69" customWidth="1"/>
    <col min="8" max="25" width="8.69921875" style="69" customWidth="1"/>
    <col min="26" max="16384" width="12.59765625" style="69"/>
  </cols>
  <sheetData>
    <row r="1" spans="1:25" ht="13.5" customHeight="1">
      <c r="A1" s="116" t="s">
        <v>293</v>
      </c>
      <c r="B1" s="116" t="s">
        <v>294</v>
      </c>
      <c r="C1" s="116" t="s">
        <v>295</v>
      </c>
      <c r="D1" s="116" t="s">
        <v>374</v>
      </c>
      <c r="E1" s="116" t="s">
        <v>296</v>
      </c>
      <c r="F1" s="116"/>
      <c r="G1" s="118"/>
      <c r="H1" s="245">
        <v>62000</v>
      </c>
      <c r="I1" s="238" t="s">
        <v>277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</row>
    <row r="2" spans="1:25" ht="13.5" customHeight="1">
      <c r="A2" s="124" t="s">
        <v>297</v>
      </c>
      <c r="B2" s="124" t="s">
        <v>268</v>
      </c>
      <c r="C2" s="127" t="s">
        <v>510</v>
      </c>
      <c r="D2" s="123" t="s">
        <v>409</v>
      </c>
      <c r="E2" s="131" t="s">
        <v>512</v>
      </c>
      <c r="F2" s="126" t="s">
        <v>511</v>
      </c>
      <c r="G2" s="119"/>
      <c r="H2" s="245">
        <v>63000</v>
      </c>
      <c r="I2" s="238" t="s">
        <v>707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5" ht="13.5" customHeight="1">
      <c r="A3" s="123"/>
      <c r="B3" s="123"/>
      <c r="C3" s="127"/>
      <c r="D3" s="123"/>
      <c r="E3" s="131"/>
      <c r="F3" s="127"/>
      <c r="G3" s="119"/>
      <c r="H3" s="245">
        <v>64000</v>
      </c>
      <c r="I3" s="238" t="s">
        <v>279</v>
      </c>
    </row>
    <row r="4" spans="1:25" ht="13.5" customHeight="1">
      <c r="A4" s="124" t="s">
        <v>299</v>
      </c>
      <c r="B4" s="124" t="s">
        <v>300</v>
      </c>
      <c r="C4" s="130" t="s">
        <v>518</v>
      </c>
      <c r="D4" s="130" t="s">
        <v>406</v>
      </c>
      <c r="E4" s="130">
        <v>1024910750</v>
      </c>
      <c r="F4" s="128" t="s">
        <v>511</v>
      </c>
      <c r="G4" s="119"/>
      <c r="H4" s="245">
        <v>65000</v>
      </c>
      <c r="I4" s="238" t="s">
        <v>284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</row>
    <row r="5" spans="1:25" ht="13.5" customHeight="1">
      <c r="A5" s="124"/>
      <c r="B5" s="124"/>
      <c r="C5" s="127" t="s">
        <v>510</v>
      </c>
      <c r="D5" s="130" t="s">
        <v>409</v>
      </c>
      <c r="E5" s="130">
        <v>1025805620</v>
      </c>
      <c r="F5" s="128" t="s">
        <v>511</v>
      </c>
      <c r="G5" s="119"/>
      <c r="H5" s="245">
        <v>66000</v>
      </c>
      <c r="I5" s="238" t="s">
        <v>715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</row>
    <row r="6" spans="1:25" ht="13.5" customHeight="1">
      <c r="A6" s="124"/>
      <c r="B6" s="124"/>
      <c r="C6" s="130" t="s">
        <v>515</v>
      </c>
      <c r="D6" s="130" t="s">
        <v>467</v>
      </c>
      <c r="E6" s="130">
        <v>1025853063</v>
      </c>
      <c r="F6" s="128" t="s">
        <v>511</v>
      </c>
      <c r="G6" s="119"/>
      <c r="H6" s="245">
        <v>67100</v>
      </c>
      <c r="I6" s="238" t="s">
        <v>723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</row>
    <row r="7" spans="1:25" ht="13.5" customHeight="1">
      <c r="A7" s="124"/>
      <c r="B7" s="124"/>
      <c r="C7" s="130" t="s">
        <v>516</v>
      </c>
      <c r="D7" s="130" t="s">
        <v>513</v>
      </c>
      <c r="E7" s="130">
        <v>1025916693</v>
      </c>
      <c r="F7" s="128" t="s">
        <v>511</v>
      </c>
      <c r="G7" s="119"/>
      <c r="H7" s="245">
        <v>67200</v>
      </c>
      <c r="I7" s="238" t="s">
        <v>733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</row>
    <row r="8" spans="1:25" ht="13.5" customHeight="1">
      <c r="A8" s="124"/>
      <c r="B8" s="124"/>
      <c r="C8" s="130" t="s">
        <v>517</v>
      </c>
      <c r="D8" s="130" t="s">
        <v>336</v>
      </c>
      <c r="E8" s="130">
        <v>1026160515</v>
      </c>
      <c r="F8" s="128" t="s">
        <v>511</v>
      </c>
      <c r="G8" s="119"/>
      <c r="H8" s="245">
        <v>67300</v>
      </c>
      <c r="I8" s="238" t="s">
        <v>219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</row>
    <row r="9" spans="1:25" ht="13.5" customHeight="1">
      <c r="A9" s="124"/>
      <c r="B9" s="124"/>
      <c r="C9" s="127" t="s">
        <v>510</v>
      </c>
      <c r="D9" s="130" t="s">
        <v>409</v>
      </c>
      <c r="E9" s="130">
        <v>1027287004</v>
      </c>
      <c r="F9" s="128" t="s">
        <v>514</v>
      </c>
      <c r="G9" s="119"/>
      <c r="H9" s="245">
        <v>68000</v>
      </c>
      <c r="I9" s="238" t="s">
        <v>242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</row>
    <row r="10" spans="1:25" ht="13.5" customHeight="1">
      <c r="A10" s="123" t="s">
        <v>298</v>
      </c>
      <c r="B10" s="123" t="s">
        <v>270</v>
      </c>
      <c r="C10" s="127"/>
      <c r="D10" s="125"/>
      <c r="E10" s="129"/>
      <c r="F10" s="125"/>
      <c r="G10" s="119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</row>
    <row r="11" spans="1:25" ht="13.5" customHeight="1">
      <c r="A11" s="127" t="s">
        <v>301</v>
      </c>
      <c r="B11" s="123" t="s">
        <v>302</v>
      </c>
      <c r="C11" s="127"/>
      <c r="D11" s="125"/>
      <c r="E11" s="129"/>
      <c r="F11" s="125"/>
      <c r="G11" s="119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</row>
    <row r="12" spans="1:25" ht="13.5" customHeight="1">
      <c r="A12" s="127" t="s">
        <v>303</v>
      </c>
      <c r="B12" s="123" t="s">
        <v>304</v>
      </c>
      <c r="C12" s="127"/>
      <c r="D12" s="125"/>
      <c r="E12" s="129"/>
      <c r="F12" s="125"/>
      <c r="G12" s="119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</row>
    <row r="13" spans="1:25" s="120" customFormat="1" ht="13.5" customHeight="1">
      <c r="A13" s="123" t="s">
        <v>307</v>
      </c>
      <c r="B13" s="123" t="s">
        <v>308</v>
      </c>
      <c r="C13" s="127"/>
      <c r="D13" s="125"/>
      <c r="E13" s="125"/>
      <c r="F13" s="125"/>
      <c r="G13" s="121"/>
    </row>
    <row r="14" spans="1:25" ht="13.5" customHeight="1">
      <c r="A14" s="123" t="s">
        <v>413</v>
      </c>
      <c r="B14" s="123" t="s">
        <v>414</v>
      </c>
      <c r="C14" s="127"/>
      <c r="D14" s="127"/>
      <c r="E14" s="127"/>
      <c r="F14" s="127"/>
      <c r="G14" s="119"/>
    </row>
    <row r="15" spans="1:25" ht="13.5" customHeight="1">
      <c r="A15" s="123" t="s">
        <v>415</v>
      </c>
      <c r="B15" s="123" t="s">
        <v>416</v>
      </c>
      <c r="C15" s="127"/>
      <c r="D15" s="127"/>
      <c r="E15" s="127"/>
      <c r="F15" s="127"/>
      <c r="G15" s="119"/>
    </row>
    <row r="16" spans="1:25" ht="13.5" customHeight="1">
      <c r="A16" s="123" t="s">
        <v>417</v>
      </c>
      <c r="B16" s="123" t="s">
        <v>418</v>
      </c>
      <c r="C16" s="127"/>
      <c r="D16" s="127"/>
      <c r="E16" s="127"/>
      <c r="F16" s="127"/>
      <c r="G16" s="119"/>
    </row>
    <row r="17" spans="1:7" ht="13.5" customHeight="1">
      <c r="A17" s="123" t="s">
        <v>297</v>
      </c>
      <c r="B17" s="123" t="s">
        <v>419</v>
      </c>
      <c r="C17" s="127"/>
      <c r="D17" s="127"/>
      <c r="E17" s="127"/>
      <c r="F17" s="127"/>
      <c r="G17" s="119"/>
    </row>
    <row r="18" spans="1:7" ht="13.5" customHeight="1">
      <c r="A18" s="123" t="s">
        <v>420</v>
      </c>
      <c r="B18" s="123" t="s">
        <v>421</v>
      </c>
      <c r="C18" s="127"/>
      <c r="D18" s="127"/>
      <c r="E18" s="127"/>
      <c r="F18" s="127"/>
      <c r="G18" s="119"/>
    </row>
    <row r="19" spans="1:7" ht="13.5" customHeight="1">
      <c r="A19" s="123" t="s">
        <v>422</v>
      </c>
      <c r="B19" s="123" t="s">
        <v>423</v>
      </c>
      <c r="C19" s="127"/>
      <c r="D19" s="127"/>
      <c r="E19" s="127"/>
      <c r="F19" s="127"/>
      <c r="G19" s="119"/>
    </row>
    <row r="20" spans="1:7" ht="13.5" customHeight="1">
      <c r="A20" s="123" t="s">
        <v>424</v>
      </c>
      <c r="B20" s="123" t="s">
        <v>425</v>
      </c>
      <c r="C20" s="127"/>
      <c r="D20" s="127"/>
      <c r="E20" s="127"/>
      <c r="F20" s="127"/>
      <c r="G20" s="119"/>
    </row>
    <row r="21" spans="1:7" ht="13.5" customHeight="1">
      <c r="A21" s="123" t="s">
        <v>426</v>
      </c>
      <c r="B21" s="123" t="s">
        <v>427</v>
      </c>
      <c r="C21" s="127"/>
      <c r="D21" s="127"/>
      <c r="E21" s="127"/>
      <c r="F21" s="127"/>
      <c r="G21" s="119"/>
    </row>
    <row r="22" spans="1:7" ht="13.5" customHeight="1">
      <c r="A22" s="123" t="s">
        <v>305</v>
      </c>
      <c r="B22" s="123" t="s">
        <v>306</v>
      </c>
      <c r="C22" s="127"/>
      <c r="D22" s="127"/>
      <c r="E22" s="127"/>
      <c r="F22" s="127"/>
      <c r="G22" s="119"/>
    </row>
    <row r="23" spans="1:7" ht="13.5" customHeight="1">
      <c r="A23" s="123" t="s">
        <v>428</v>
      </c>
      <c r="B23" s="123" t="s">
        <v>429</v>
      </c>
      <c r="C23" s="127"/>
      <c r="D23" s="127"/>
      <c r="E23" s="127"/>
      <c r="F23" s="127"/>
      <c r="G23" s="119"/>
    </row>
    <row r="24" spans="1:7" ht="13.5" customHeight="1">
      <c r="A24" s="123" t="s">
        <v>430</v>
      </c>
      <c r="B24" s="123" t="s">
        <v>431</v>
      </c>
      <c r="C24" s="127"/>
      <c r="D24" s="127"/>
      <c r="E24" s="127"/>
      <c r="F24" s="127"/>
      <c r="G24" s="119"/>
    </row>
    <row r="25" spans="1:7" ht="13.5" customHeight="1">
      <c r="A25" s="123" t="s">
        <v>432</v>
      </c>
      <c r="B25" s="123" t="s">
        <v>433</v>
      </c>
      <c r="C25" s="127"/>
      <c r="D25" s="127"/>
      <c r="E25" s="127"/>
      <c r="F25" s="127"/>
      <c r="G25" s="119"/>
    </row>
    <row r="26" spans="1:7" ht="13.5" customHeight="1">
      <c r="A26" s="123" t="s">
        <v>434</v>
      </c>
      <c r="B26" s="123" t="s">
        <v>435</v>
      </c>
      <c r="C26" s="127"/>
      <c r="D26" s="127"/>
      <c r="E26" s="127"/>
      <c r="F26" s="127"/>
      <c r="G26" s="119"/>
    </row>
    <row r="27" spans="1:7" ht="13.5" customHeight="1">
      <c r="A27" s="123" t="s">
        <v>436</v>
      </c>
      <c r="B27" s="123" t="s">
        <v>437</v>
      </c>
      <c r="C27" s="127"/>
      <c r="D27" s="127"/>
      <c r="E27" s="127"/>
      <c r="F27" s="127"/>
      <c r="G27" s="119"/>
    </row>
    <row r="28" spans="1:7" ht="13.5" customHeight="1">
      <c r="A28" s="123" t="s">
        <v>438</v>
      </c>
      <c r="B28" s="123" t="s">
        <v>439</v>
      </c>
      <c r="C28" s="127"/>
      <c r="D28" s="127"/>
      <c r="E28" s="127"/>
      <c r="F28" s="127"/>
      <c r="G28" s="119"/>
    </row>
    <row r="29" spans="1:7" ht="13.5" customHeight="1">
      <c r="A29" s="123"/>
      <c r="B29" s="123"/>
      <c r="C29" s="127"/>
      <c r="D29" s="127"/>
      <c r="E29" s="127"/>
      <c r="F29" s="127"/>
      <c r="G29" s="119"/>
    </row>
    <row r="30" spans="1:7" ht="13.5" customHeight="1">
      <c r="A30" s="123"/>
      <c r="B30" s="123"/>
      <c r="C30" s="127"/>
      <c r="D30" s="127"/>
      <c r="E30" s="127"/>
      <c r="F30" s="127"/>
      <c r="G30" s="119"/>
    </row>
    <row r="31" spans="1:7" ht="13.5" customHeight="1">
      <c r="A31" s="123"/>
      <c r="B31" s="123"/>
      <c r="C31" s="127"/>
      <c r="D31" s="127"/>
      <c r="E31" s="127"/>
      <c r="F31" s="127"/>
      <c r="G31" s="119"/>
    </row>
    <row r="32" spans="1:7" ht="13.5" customHeight="1">
      <c r="A32" s="123"/>
      <c r="B32" s="123"/>
      <c r="C32" s="127"/>
      <c r="D32" s="127"/>
      <c r="E32" s="127"/>
      <c r="F32" s="127"/>
      <c r="G32" s="119"/>
    </row>
    <row r="33" spans="1:7" ht="13.5" customHeight="1">
      <c r="A33" s="123"/>
      <c r="B33" s="123"/>
      <c r="C33" s="127"/>
      <c r="D33" s="127"/>
      <c r="E33" s="127"/>
      <c r="F33" s="127"/>
      <c r="G33" s="119"/>
    </row>
    <row r="34" spans="1:7" ht="13.5" customHeight="1">
      <c r="A34" s="123"/>
      <c r="B34" s="123"/>
      <c r="C34" s="127"/>
      <c r="D34" s="127"/>
      <c r="E34" s="127"/>
      <c r="F34" s="127"/>
      <c r="G34" s="119"/>
    </row>
    <row r="35" spans="1:7" ht="13.5" customHeight="1">
      <c r="A35" s="123"/>
      <c r="B35" s="123"/>
      <c r="C35" s="127"/>
      <c r="D35" s="127"/>
      <c r="E35" s="127"/>
      <c r="F35" s="127"/>
      <c r="G35" s="119"/>
    </row>
    <row r="36" spans="1:7" ht="13.5" customHeight="1">
      <c r="A36" s="123"/>
      <c r="B36" s="123"/>
      <c r="C36" s="127"/>
      <c r="D36" s="127"/>
      <c r="E36" s="127"/>
      <c r="F36" s="127"/>
      <c r="G36" s="119"/>
    </row>
    <row r="37" spans="1:7" ht="13.5" customHeight="1">
      <c r="A37" s="123"/>
      <c r="B37" s="123"/>
      <c r="C37" s="127"/>
      <c r="D37" s="127"/>
      <c r="E37" s="127"/>
      <c r="F37" s="127"/>
      <c r="G37" s="119"/>
    </row>
    <row r="38" spans="1:7" ht="13.5" customHeight="1">
      <c r="A38" s="123"/>
      <c r="B38" s="123"/>
      <c r="C38" s="127"/>
      <c r="D38" s="127"/>
      <c r="E38" s="127"/>
      <c r="F38" s="127"/>
      <c r="G38" s="119"/>
    </row>
    <row r="39" spans="1:7" ht="13.5" customHeight="1">
      <c r="A39" s="123"/>
      <c r="B39" s="123"/>
      <c r="C39" s="127"/>
      <c r="D39" s="127"/>
      <c r="E39" s="127"/>
      <c r="F39" s="127"/>
      <c r="G39" s="119"/>
    </row>
    <row r="40" spans="1:7" ht="13.5" customHeight="1">
      <c r="A40" s="123"/>
      <c r="B40" s="123"/>
      <c r="C40" s="127"/>
      <c r="D40" s="127"/>
      <c r="E40" s="127"/>
      <c r="F40" s="127"/>
      <c r="G40" s="119"/>
    </row>
    <row r="41" spans="1:7" ht="13.5" customHeight="1">
      <c r="A41" s="123"/>
      <c r="B41" s="123"/>
      <c r="C41" s="127"/>
      <c r="D41" s="127"/>
      <c r="E41" s="127"/>
      <c r="F41" s="127"/>
      <c r="G41" s="119"/>
    </row>
    <row r="42" spans="1:7" ht="13.5" customHeight="1">
      <c r="A42" s="123"/>
      <c r="B42" s="123"/>
      <c r="C42" s="127"/>
      <c r="D42" s="127"/>
      <c r="E42" s="127"/>
      <c r="F42" s="127"/>
      <c r="G42" s="119"/>
    </row>
    <row r="43" spans="1:7" ht="13.5" customHeight="1">
      <c r="A43" s="123"/>
      <c r="B43" s="123"/>
      <c r="C43" s="127"/>
      <c r="D43" s="127"/>
      <c r="E43" s="127"/>
      <c r="F43" s="127"/>
      <c r="G43" s="119"/>
    </row>
    <row r="44" spans="1:7" ht="13.5" customHeight="1">
      <c r="A44" s="123"/>
      <c r="B44" s="123"/>
      <c r="C44" s="127"/>
      <c r="D44" s="127"/>
      <c r="E44" s="127"/>
      <c r="F44" s="127"/>
      <c r="G44" s="119"/>
    </row>
    <row r="45" spans="1:7" ht="13.5" customHeight="1">
      <c r="A45" s="123"/>
      <c r="B45" s="123"/>
      <c r="C45" s="127"/>
      <c r="D45" s="127"/>
      <c r="E45" s="127"/>
      <c r="F45" s="127"/>
      <c r="G45" s="119"/>
    </row>
    <row r="46" spans="1:7" ht="13.5" customHeight="1">
      <c r="A46" s="123"/>
      <c r="B46" s="123"/>
      <c r="C46" s="127"/>
      <c r="D46" s="127"/>
      <c r="E46" s="127"/>
      <c r="F46" s="127"/>
      <c r="G46" s="119"/>
    </row>
    <row r="47" spans="1:7" ht="13.5" customHeight="1">
      <c r="A47" s="123"/>
      <c r="B47" s="123"/>
      <c r="C47" s="127"/>
      <c r="D47" s="127"/>
      <c r="E47" s="127"/>
      <c r="F47" s="127"/>
      <c r="G47" s="119"/>
    </row>
    <row r="48" spans="1:7" ht="13.5" customHeight="1">
      <c r="A48" s="123"/>
      <c r="B48" s="123"/>
      <c r="C48" s="127"/>
      <c r="D48" s="127"/>
      <c r="E48" s="127"/>
      <c r="F48" s="127"/>
      <c r="G48" s="119"/>
    </row>
    <row r="49" spans="1:7" ht="13.5" customHeight="1">
      <c r="A49" s="123"/>
      <c r="B49" s="123"/>
      <c r="C49" s="127"/>
      <c r="D49" s="127"/>
      <c r="E49" s="127"/>
      <c r="F49" s="127"/>
      <c r="G49" s="119"/>
    </row>
    <row r="50" spans="1:7" ht="13.5" customHeight="1">
      <c r="A50" s="123"/>
      <c r="B50" s="123"/>
      <c r="C50" s="127"/>
      <c r="D50" s="127"/>
      <c r="E50" s="127"/>
      <c r="F50" s="127"/>
      <c r="G50" s="119"/>
    </row>
    <row r="51" spans="1:7" ht="13.5" customHeight="1">
      <c r="A51" s="123"/>
      <c r="B51" s="123"/>
      <c r="C51" s="127"/>
      <c r="D51" s="127"/>
      <c r="E51" s="127"/>
      <c r="F51" s="127"/>
      <c r="G51" s="119"/>
    </row>
    <row r="52" spans="1:7" ht="13.5" customHeight="1">
      <c r="A52" s="123"/>
      <c r="B52" s="123"/>
      <c r="C52" s="127"/>
      <c r="D52" s="127"/>
      <c r="E52" s="127"/>
      <c r="F52" s="127"/>
      <c r="G52" s="119"/>
    </row>
    <row r="53" spans="1:7" ht="13.5" customHeight="1">
      <c r="A53" s="123"/>
      <c r="B53" s="123"/>
      <c r="C53" s="127"/>
      <c r="D53" s="127"/>
      <c r="E53" s="127"/>
      <c r="F53" s="127"/>
      <c r="G53" s="119"/>
    </row>
    <row r="54" spans="1:7" ht="13.5" customHeight="1">
      <c r="A54" s="123"/>
      <c r="B54" s="123"/>
      <c r="C54" s="127"/>
      <c r="D54" s="127"/>
      <c r="E54" s="127"/>
      <c r="F54" s="127"/>
      <c r="G54" s="119"/>
    </row>
    <row r="55" spans="1:7" ht="13.5" customHeight="1">
      <c r="A55" s="123"/>
      <c r="B55" s="123"/>
      <c r="C55" s="127"/>
      <c r="D55" s="127"/>
      <c r="E55" s="127"/>
      <c r="F55" s="127"/>
      <c r="G55" s="119"/>
    </row>
    <row r="56" spans="1:7" ht="13.5" customHeight="1">
      <c r="A56" s="123"/>
      <c r="B56" s="123"/>
      <c r="C56" s="127"/>
      <c r="D56" s="127"/>
      <c r="E56" s="127"/>
      <c r="F56" s="127"/>
      <c r="G56" s="119"/>
    </row>
    <row r="57" spans="1:7" ht="13.5" customHeight="1">
      <c r="A57" s="123"/>
      <c r="B57" s="123"/>
      <c r="C57" s="127"/>
      <c r="D57" s="127"/>
      <c r="E57" s="127"/>
      <c r="F57" s="127"/>
      <c r="G57" s="119"/>
    </row>
    <row r="58" spans="1:7" ht="13.5" customHeight="1">
      <c r="A58" s="123"/>
      <c r="B58" s="123"/>
      <c r="C58" s="127"/>
      <c r="D58" s="127"/>
      <c r="E58" s="127"/>
      <c r="F58" s="127"/>
      <c r="G58" s="119"/>
    </row>
    <row r="59" spans="1:7" ht="13.5" customHeight="1">
      <c r="A59" s="123"/>
      <c r="B59" s="123"/>
      <c r="C59" s="127"/>
      <c r="D59" s="127"/>
      <c r="E59" s="127"/>
      <c r="F59" s="127"/>
      <c r="G59" s="119"/>
    </row>
    <row r="60" spans="1:7" ht="13.5" customHeight="1">
      <c r="A60" s="123"/>
      <c r="B60" s="123"/>
      <c r="C60" s="127"/>
      <c r="D60" s="127"/>
      <c r="E60" s="127"/>
      <c r="F60" s="127"/>
      <c r="G60" s="119"/>
    </row>
    <row r="61" spans="1:7" ht="13.5" customHeight="1">
      <c r="A61" s="123"/>
      <c r="B61" s="123"/>
      <c r="C61" s="127"/>
      <c r="D61" s="127"/>
      <c r="E61" s="127"/>
      <c r="F61" s="127"/>
      <c r="G61" s="119"/>
    </row>
    <row r="62" spans="1:7" ht="13.5" customHeight="1">
      <c r="A62" s="123"/>
      <c r="B62" s="123"/>
      <c r="C62" s="127"/>
      <c r="D62" s="127"/>
      <c r="E62" s="127"/>
      <c r="F62" s="127"/>
      <c r="G62" s="119"/>
    </row>
    <row r="63" spans="1:7" ht="13.5" customHeight="1">
      <c r="A63" s="123"/>
      <c r="B63" s="123"/>
      <c r="C63" s="127"/>
      <c r="D63" s="127"/>
      <c r="E63" s="127"/>
      <c r="F63" s="127"/>
      <c r="G63" s="119"/>
    </row>
    <row r="64" spans="1:7" ht="13.5" customHeight="1">
      <c r="A64" s="123"/>
      <c r="B64" s="123"/>
      <c r="C64" s="127"/>
      <c r="D64" s="127"/>
      <c r="E64" s="127"/>
      <c r="F64" s="127"/>
      <c r="G64" s="119"/>
    </row>
    <row r="65" spans="1:7" ht="13.5" customHeight="1">
      <c r="A65" s="123"/>
      <c r="B65" s="123"/>
      <c r="C65" s="127"/>
      <c r="D65" s="127"/>
      <c r="E65" s="127"/>
      <c r="F65" s="127"/>
      <c r="G65" s="119"/>
    </row>
    <row r="66" spans="1:7" ht="13.5" customHeight="1">
      <c r="A66" s="123"/>
      <c r="B66" s="123"/>
      <c r="C66" s="127"/>
      <c r="D66" s="127"/>
      <c r="E66" s="127"/>
      <c r="F66" s="127"/>
      <c r="G66" s="119"/>
    </row>
    <row r="67" spans="1:7" ht="13.5" customHeight="1">
      <c r="A67" s="123"/>
      <c r="B67" s="123"/>
      <c r="C67" s="127"/>
      <c r="D67" s="127"/>
      <c r="E67" s="127"/>
      <c r="F67" s="127"/>
      <c r="G67" s="119"/>
    </row>
    <row r="68" spans="1:7" ht="13.5" customHeight="1">
      <c r="A68" s="123"/>
      <c r="B68" s="123"/>
      <c r="C68" s="127"/>
      <c r="D68" s="127"/>
      <c r="E68" s="127"/>
      <c r="F68" s="127"/>
      <c r="G68" s="119"/>
    </row>
    <row r="69" spans="1:7" ht="13.5" customHeight="1">
      <c r="A69" s="123"/>
      <c r="B69" s="123"/>
      <c r="C69" s="127"/>
      <c r="D69" s="127"/>
      <c r="E69" s="127"/>
      <c r="F69" s="127"/>
      <c r="G69" s="119"/>
    </row>
    <row r="70" spans="1:7" ht="13.5" customHeight="1">
      <c r="A70" s="123"/>
      <c r="B70" s="123"/>
      <c r="C70" s="127"/>
      <c r="D70" s="127"/>
      <c r="E70" s="127"/>
      <c r="F70" s="127"/>
      <c r="G70" s="119"/>
    </row>
    <row r="71" spans="1:7" ht="13.5" customHeight="1">
      <c r="A71" s="123"/>
      <c r="B71" s="123"/>
      <c r="C71" s="127"/>
      <c r="D71" s="127"/>
      <c r="E71" s="127"/>
      <c r="F71" s="127"/>
      <c r="G71" s="119"/>
    </row>
    <row r="72" spans="1:7" ht="13.5" customHeight="1">
      <c r="A72" s="123"/>
      <c r="B72" s="123"/>
      <c r="C72" s="127"/>
      <c r="D72" s="127"/>
      <c r="E72" s="127"/>
      <c r="F72" s="127"/>
      <c r="G72" s="119"/>
    </row>
    <row r="73" spans="1:7" ht="13.5" customHeight="1">
      <c r="A73" s="123"/>
      <c r="B73" s="123"/>
      <c r="C73" s="127"/>
      <c r="D73" s="127"/>
      <c r="E73" s="127"/>
      <c r="F73" s="127"/>
      <c r="G73" s="119"/>
    </row>
    <row r="74" spans="1:7" ht="13.5" customHeight="1">
      <c r="A74" s="122"/>
      <c r="B74" s="122"/>
      <c r="G74" s="119"/>
    </row>
    <row r="75" spans="1:7" ht="13.5" customHeight="1">
      <c r="A75" s="122"/>
      <c r="B75" s="122"/>
      <c r="G75" s="119"/>
    </row>
    <row r="76" spans="1:7" ht="13.5" customHeight="1">
      <c r="A76" s="122"/>
      <c r="B76" s="122"/>
      <c r="G76" s="119"/>
    </row>
    <row r="77" spans="1:7" ht="13.5" customHeight="1">
      <c r="A77" s="122"/>
      <c r="B77" s="122"/>
      <c r="G77" s="119"/>
    </row>
    <row r="78" spans="1:7" ht="13.5" customHeight="1">
      <c r="A78" s="122"/>
      <c r="B78" s="122"/>
      <c r="G78" s="119"/>
    </row>
    <row r="79" spans="1:7" ht="13.5" customHeight="1">
      <c r="A79" s="122"/>
      <c r="B79" s="122"/>
      <c r="G79" s="119"/>
    </row>
    <row r="80" spans="1:7" ht="13.5" customHeight="1">
      <c r="A80" s="122"/>
      <c r="B80" s="122"/>
      <c r="G80" s="119"/>
    </row>
    <row r="81" spans="1:7" ht="13.5" customHeight="1">
      <c r="A81" s="122"/>
      <c r="B81" s="122"/>
      <c r="G81" s="119"/>
    </row>
    <row r="82" spans="1:7" ht="13.5" customHeight="1">
      <c r="A82" s="122"/>
      <c r="B82" s="122"/>
      <c r="G82" s="119"/>
    </row>
    <row r="83" spans="1:7" ht="13.5" customHeight="1">
      <c r="A83" s="122"/>
      <c r="B83" s="122"/>
      <c r="G83" s="119"/>
    </row>
    <row r="84" spans="1:7" ht="13.5" customHeight="1">
      <c r="A84" s="122"/>
      <c r="B84" s="122"/>
      <c r="G84" s="119"/>
    </row>
    <row r="85" spans="1:7" ht="13.5" customHeight="1">
      <c r="A85" s="122"/>
      <c r="B85" s="122"/>
      <c r="G85" s="119"/>
    </row>
    <row r="86" spans="1:7" ht="13.5" customHeight="1">
      <c r="A86" s="122"/>
      <c r="B86" s="122"/>
      <c r="G86" s="119"/>
    </row>
    <row r="87" spans="1:7" ht="13.5" customHeight="1">
      <c r="A87" s="122"/>
      <c r="B87" s="122"/>
      <c r="G87" s="119"/>
    </row>
    <row r="88" spans="1:7" ht="13.5" customHeight="1">
      <c r="A88" s="122"/>
      <c r="B88" s="122"/>
      <c r="G88" s="119"/>
    </row>
    <row r="89" spans="1:7" ht="13.5" customHeight="1">
      <c r="A89" s="122"/>
      <c r="B89" s="122"/>
      <c r="G89" s="119"/>
    </row>
    <row r="90" spans="1:7" ht="13.5" customHeight="1">
      <c r="A90" s="122"/>
      <c r="B90" s="122"/>
      <c r="G90" s="119"/>
    </row>
    <row r="91" spans="1:7" ht="13.5" customHeight="1">
      <c r="A91" s="122"/>
      <c r="B91" s="122"/>
      <c r="G91" s="119"/>
    </row>
    <row r="92" spans="1:7" ht="13.5" customHeight="1">
      <c r="A92" s="122"/>
      <c r="B92" s="122"/>
      <c r="G92" s="119"/>
    </row>
    <row r="93" spans="1:7" ht="13.5" customHeight="1">
      <c r="A93" s="122"/>
      <c r="B93" s="122"/>
      <c r="G93" s="119"/>
    </row>
    <row r="94" spans="1:7" ht="13.5" customHeight="1">
      <c r="A94" s="122"/>
      <c r="B94" s="122"/>
      <c r="G94" s="119"/>
    </row>
    <row r="95" spans="1:7" ht="13.5" customHeight="1">
      <c r="A95" s="122"/>
      <c r="B95" s="122"/>
      <c r="G95" s="119"/>
    </row>
    <row r="96" spans="1:7" ht="13.5" customHeight="1">
      <c r="A96" s="122"/>
      <c r="B96" s="122"/>
      <c r="G96" s="119"/>
    </row>
    <row r="97" spans="1:7" ht="13.5" customHeight="1">
      <c r="A97" s="122"/>
      <c r="B97" s="122"/>
      <c r="G97" s="119"/>
    </row>
    <row r="98" spans="1:7" ht="13.5" customHeight="1">
      <c r="A98" s="122"/>
      <c r="B98" s="122"/>
      <c r="G98" s="119"/>
    </row>
    <row r="99" spans="1:7" ht="13.5" customHeight="1">
      <c r="A99" s="122"/>
      <c r="B99" s="122"/>
      <c r="G99" s="119"/>
    </row>
    <row r="100" spans="1:7" ht="13.5" customHeight="1">
      <c r="A100" s="122"/>
      <c r="B100" s="122"/>
      <c r="G100" s="119"/>
    </row>
    <row r="101" spans="1:7" ht="13.5" customHeight="1">
      <c r="A101" s="122"/>
      <c r="B101" s="122"/>
      <c r="G101" s="119"/>
    </row>
    <row r="102" spans="1:7" ht="13.5" customHeight="1">
      <c r="A102" s="122"/>
      <c r="B102" s="122"/>
      <c r="G102" s="119"/>
    </row>
    <row r="103" spans="1:7" ht="13.5" customHeight="1">
      <c r="A103" s="122"/>
      <c r="B103" s="122"/>
      <c r="G103" s="119"/>
    </row>
    <row r="104" spans="1:7" ht="13.5" customHeight="1">
      <c r="A104" s="122"/>
      <c r="B104" s="122"/>
      <c r="G104" s="119"/>
    </row>
    <row r="105" spans="1:7" ht="13.5" customHeight="1">
      <c r="A105" s="122"/>
      <c r="B105" s="122"/>
      <c r="G105" s="119"/>
    </row>
    <row r="106" spans="1:7" ht="13.5" customHeight="1">
      <c r="A106" s="122"/>
      <c r="B106" s="122"/>
      <c r="G106" s="119"/>
    </row>
    <row r="107" spans="1:7" ht="13.5" customHeight="1">
      <c r="A107" s="122"/>
      <c r="B107" s="122"/>
      <c r="G107" s="119"/>
    </row>
    <row r="108" spans="1:7" ht="13.5" customHeight="1">
      <c r="A108" s="122"/>
      <c r="B108" s="122"/>
      <c r="G108" s="119"/>
    </row>
    <row r="109" spans="1:7" ht="13.5" customHeight="1">
      <c r="A109" s="122"/>
      <c r="B109" s="122"/>
      <c r="G109" s="119"/>
    </row>
    <row r="110" spans="1:7" ht="13.5" customHeight="1">
      <c r="A110" s="122"/>
      <c r="B110" s="122"/>
      <c r="G110" s="119"/>
    </row>
    <row r="111" spans="1:7" ht="13.5" customHeight="1">
      <c r="A111" s="122"/>
      <c r="B111" s="122"/>
      <c r="G111" s="119"/>
    </row>
    <row r="112" spans="1:7" ht="13.5" customHeight="1">
      <c r="A112" s="122"/>
      <c r="B112" s="122"/>
      <c r="G112" s="119"/>
    </row>
    <row r="113" spans="1:7" ht="13.5" customHeight="1">
      <c r="A113" s="122"/>
      <c r="B113" s="122"/>
      <c r="G113" s="119"/>
    </row>
    <row r="114" spans="1:7" ht="13.5" customHeight="1">
      <c r="A114" s="122"/>
      <c r="B114" s="122"/>
      <c r="G114" s="119"/>
    </row>
    <row r="115" spans="1:7" ht="13.5" customHeight="1">
      <c r="A115" s="122"/>
      <c r="B115" s="122"/>
      <c r="G115" s="119"/>
    </row>
    <row r="116" spans="1:7" ht="13.5" customHeight="1">
      <c r="A116" s="122"/>
      <c r="B116" s="122"/>
      <c r="G116" s="119"/>
    </row>
    <row r="117" spans="1:7" ht="13.5" customHeight="1">
      <c r="A117" s="122"/>
      <c r="B117" s="122"/>
      <c r="G117" s="119"/>
    </row>
    <row r="118" spans="1:7" ht="13.5" customHeight="1">
      <c r="A118" s="122"/>
      <c r="B118" s="122"/>
      <c r="G118" s="119"/>
    </row>
    <row r="119" spans="1:7" ht="13.5" customHeight="1">
      <c r="A119" s="122"/>
      <c r="B119" s="122"/>
      <c r="G119" s="119"/>
    </row>
    <row r="120" spans="1:7" ht="13.5" customHeight="1">
      <c r="A120" s="122"/>
      <c r="B120" s="122"/>
      <c r="G120" s="119"/>
    </row>
    <row r="121" spans="1:7" ht="13.5" customHeight="1">
      <c r="A121" s="122"/>
      <c r="B121" s="122"/>
      <c r="G121" s="119"/>
    </row>
    <row r="122" spans="1:7" ht="13.5" customHeight="1">
      <c r="A122" s="122"/>
      <c r="B122" s="122"/>
      <c r="G122" s="119"/>
    </row>
    <row r="123" spans="1:7" ht="13.5" customHeight="1">
      <c r="A123" s="122"/>
      <c r="B123" s="122"/>
      <c r="G123" s="119"/>
    </row>
    <row r="124" spans="1:7" ht="13.5" customHeight="1">
      <c r="A124" s="122"/>
      <c r="B124" s="122"/>
      <c r="G124" s="119"/>
    </row>
    <row r="125" spans="1:7" ht="13.5" customHeight="1">
      <c r="A125" s="122"/>
      <c r="B125" s="122"/>
      <c r="G125" s="119"/>
    </row>
    <row r="126" spans="1:7" ht="13.5" customHeight="1">
      <c r="A126" s="122"/>
      <c r="B126" s="122"/>
      <c r="G126" s="119"/>
    </row>
    <row r="127" spans="1:7" ht="13.5" customHeight="1">
      <c r="A127" s="122"/>
      <c r="B127" s="122"/>
      <c r="G127" s="119"/>
    </row>
    <row r="128" spans="1:7" ht="13.5" customHeight="1">
      <c r="A128" s="122"/>
      <c r="B128" s="122"/>
      <c r="G128" s="119"/>
    </row>
    <row r="129" spans="1:7" ht="13.5" customHeight="1">
      <c r="A129" s="122"/>
      <c r="B129" s="122"/>
      <c r="G129" s="119"/>
    </row>
    <row r="130" spans="1:7" ht="13.5" customHeight="1">
      <c r="A130" s="122"/>
      <c r="B130" s="122"/>
      <c r="G130" s="119"/>
    </row>
    <row r="131" spans="1:7" ht="13.5" customHeight="1">
      <c r="A131" s="122"/>
      <c r="B131" s="122"/>
      <c r="G131" s="119"/>
    </row>
    <row r="132" spans="1:7" ht="13.5" customHeight="1">
      <c r="A132" s="122"/>
      <c r="B132" s="122"/>
      <c r="G132" s="119"/>
    </row>
    <row r="133" spans="1:7" ht="13.5" customHeight="1">
      <c r="A133" s="122"/>
      <c r="B133" s="122"/>
      <c r="G133" s="119"/>
    </row>
    <row r="134" spans="1:7" ht="13.5" customHeight="1">
      <c r="A134" s="122"/>
      <c r="B134" s="122"/>
      <c r="G134" s="119"/>
    </row>
    <row r="135" spans="1:7" ht="13.5" customHeight="1">
      <c r="A135" s="122"/>
      <c r="B135" s="122"/>
      <c r="G135" s="119"/>
    </row>
    <row r="136" spans="1:7" ht="13.5" customHeight="1">
      <c r="A136" s="122"/>
      <c r="B136" s="122"/>
      <c r="G136" s="119"/>
    </row>
    <row r="137" spans="1:7" ht="13.5" customHeight="1">
      <c r="A137" s="122"/>
      <c r="B137" s="122"/>
      <c r="G137" s="119"/>
    </row>
    <row r="138" spans="1:7" ht="13.5" customHeight="1">
      <c r="A138" s="122"/>
      <c r="B138" s="122"/>
      <c r="G138" s="119"/>
    </row>
    <row r="139" spans="1:7" ht="13.5" customHeight="1">
      <c r="A139" s="122"/>
      <c r="B139" s="122"/>
      <c r="G139" s="119"/>
    </row>
    <row r="140" spans="1:7" ht="13.5" customHeight="1">
      <c r="A140" s="122"/>
      <c r="B140" s="122"/>
      <c r="G140" s="119"/>
    </row>
    <row r="141" spans="1:7" ht="13.5" customHeight="1">
      <c r="A141" s="122"/>
      <c r="B141" s="122"/>
      <c r="G141" s="119"/>
    </row>
    <row r="142" spans="1:7" ht="13.5" customHeight="1">
      <c r="A142" s="122"/>
      <c r="B142" s="122"/>
      <c r="G142" s="119"/>
    </row>
    <row r="143" spans="1:7" ht="13.5" customHeight="1">
      <c r="A143" s="122"/>
      <c r="B143" s="122"/>
      <c r="G143" s="119"/>
    </row>
    <row r="144" spans="1:7" ht="13.5" customHeight="1">
      <c r="A144" s="122"/>
      <c r="B144" s="122"/>
      <c r="G144" s="119"/>
    </row>
    <row r="145" spans="1:7" ht="13.5" customHeight="1">
      <c r="A145" s="122"/>
      <c r="B145" s="122"/>
      <c r="G145" s="119"/>
    </row>
    <row r="146" spans="1:7" ht="13.5" customHeight="1">
      <c r="A146" s="122"/>
      <c r="B146" s="122"/>
      <c r="G146" s="119"/>
    </row>
    <row r="147" spans="1:7" ht="13.5" customHeight="1">
      <c r="A147" s="122"/>
      <c r="B147" s="122"/>
      <c r="G147" s="119"/>
    </row>
    <row r="148" spans="1:7" ht="13.5" customHeight="1">
      <c r="A148" s="122"/>
      <c r="B148" s="122"/>
      <c r="G148" s="119"/>
    </row>
    <row r="149" spans="1:7" ht="13.5" customHeight="1">
      <c r="A149" s="122"/>
      <c r="B149" s="122"/>
      <c r="G149" s="119"/>
    </row>
    <row r="150" spans="1:7" ht="13.5" customHeight="1">
      <c r="A150" s="122"/>
      <c r="B150" s="122"/>
      <c r="G150" s="119"/>
    </row>
    <row r="151" spans="1:7" ht="13.5" customHeight="1">
      <c r="A151" s="122"/>
      <c r="B151" s="122"/>
      <c r="G151" s="119"/>
    </row>
    <row r="152" spans="1:7" ht="13.5" customHeight="1">
      <c r="A152" s="122"/>
      <c r="B152" s="122"/>
      <c r="G152" s="119"/>
    </row>
    <row r="153" spans="1:7" ht="13.5" customHeight="1">
      <c r="A153" s="122"/>
      <c r="B153" s="122"/>
      <c r="G153" s="119"/>
    </row>
    <row r="154" spans="1:7" ht="13.5" customHeight="1">
      <c r="A154" s="122"/>
      <c r="B154" s="122"/>
      <c r="G154" s="119"/>
    </row>
    <row r="155" spans="1:7" ht="13.5" customHeight="1">
      <c r="A155" s="122"/>
      <c r="B155" s="122"/>
      <c r="G155" s="119"/>
    </row>
    <row r="156" spans="1:7" ht="13.5" customHeight="1">
      <c r="A156" s="122"/>
      <c r="B156" s="122"/>
      <c r="G156" s="119"/>
    </row>
    <row r="157" spans="1:7" ht="13.5" customHeight="1">
      <c r="A157" s="122"/>
      <c r="B157" s="122"/>
      <c r="G157" s="119"/>
    </row>
    <row r="158" spans="1:7" ht="13.5" customHeight="1">
      <c r="A158" s="122"/>
      <c r="B158" s="122"/>
      <c r="G158" s="119"/>
    </row>
    <row r="159" spans="1:7" ht="13.5" customHeight="1">
      <c r="A159" s="122"/>
      <c r="B159" s="122"/>
      <c r="G159" s="119"/>
    </row>
    <row r="160" spans="1:7" ht="13.5" customHeight="1">
      <c r="A160" s="122"/>
      <c r="B160" s="122"/>
      <c r="G160" s="119"/>
    </row>
    <row r="161" spans="1:7" ht="13.5" customHeight="1">
      <c r="A161" s="122"/>
      <c r="B161" s="122"/>
      <c r="G161" s="119"/>
    </row>
    <row r="162" spans="1:7" ht="13.5" customHeight="1">
      <c r="A162" s="122"/>
      <c r="B162" s="122"/>
      <c r="G162" s="119"/>
    </row>
    <row r="163" spans="1:7" ht="13.5" customHeight="1">
      <c r="A163" s="122"/>
      <c r="B163" s="122"/>
      <c r="G163" s="119"/>
    </row>
    <row r="164" spans="1:7" ht="13.5" customHeight="1">
      <c r="A164" s="122"/>
      <c r="B164" s="122"/>
      <c r="G164" s="119"/>
    </row>
    <row r="165" spans="1:7" ht="13.5" customHeight="1">
      <c r="A165" s="122"/>
      <c r="B165" s="122"/>
      <c r="G165" s="119"/>
    </row>
    <row r="166" spans="1:7" ht="13.5" customHeight="1">
      <c r="A166" s="122"/>
      <c r="B166" s="122"/>
      <c r="G166" s="119"/>
    </row>
    <row r="167" spans="1:7" ht="13.5" customHeight="1">
      <c r="A167" s="122"/>
      <c r="B167" s="122"/>
      <c r="G167" s="119"/>
    </row>
    <row r="168" spans="1:7" ht="13.5" customHeight="1">
      <c r="A168" s="122"/>
      <c r="B168" s="122"/>
      <c r="G168" s="119"/>
    </row>
    <row r="169" spans="1:7" ht="13.5" customHeight="1">
      <c r="A169" s="122"/>
      <c r="B169" s="122"/>
      <c r="G169" s="119"/>
    </row>
    <row r="170" spans="1:7" ht="13.5" customHeight="1">
      <c r="A170" s="122"/>
      <c r="B170" s="122"/>
      <c r="G170" s="119"/>
    </row>
    <row r="171" spans="1:7" ht="13.5" customHeight="1">
      <c r="A171" s="122"/>
      <c r="B171" s="122"/>
      <c r="G171" s="119"/>
    </row>
    <row r="172" spans="1:7" ht="13.5" customHeight="1">
      <c r="A172" s="122"/>
      <c r="B172" s="122"/>
      <c r="G172" s="119"/>
    </row>
    <row r="173" spans="1:7" ht="13.5" customHeight="1">
      <c r="A173" s="122"/>
      <c r="B173" s="122"/>
      <c r="G173" s="119"/>
    </row>
    <row r="174" spans="1:7" ht="13.5" customHeight="1">
      <c r="A174" s="122"/>
      <c r="B174" s="122"/>
      <c r="G174" s="119"/>
    </row>
    <row r="175" spans="1:7" ht="13.5" customHeight="1">
      <c r="A175" s="122"/>
      <c r="B175" s="122"/>
      <c r="G175" s="119"/>
    </row>
    <row r="176" spans="1:7" ht="13.5" customHeight="1">
      <c r="A176" s="122"/>
      <c r="B176" s="122"/>
      <c r="G176" s="119"/>
    </row>
    <row r="177" spans="1:7" ht="13.5" customHeight="1">
      <c r="A177" s="122"/>
      <c r="B177" s="122"/>
      <c r="G177" s="119"/>
    </row>
    <row r="178" spans="1:7" ht="13.5" customHeight="1">
      <c r="A178" s="122"/>
      <c r="B178" s="122"/>
      <c r="G178" s="119"/>
    </row>
    <row r="179" spans="1:7" ht="13.5" customHeight="1">
      <c r="A179" s="122"/>
      <c r="B179" s="122"/>
      <c r="G179" s="119"/>
    </row>
    <row r="180" spans="1:7" ht="13.5" customHeight="1">
      <c r="A180" s="122"/>
      <c r="B180" s="122"/>
      <c r="G180" s="119"/>
    </row>
    <row r="181" spans="1:7" ht="13.5" customHeight="1">
      <c r="A181" s="122"/>
      <c r="B181" s="122"/>
      <c r="G181" s="119"/>
    </row>
    <row r="182" spans="1:7" ht="13.5" customHeight="1">
      <c r="A182" s="122"/>
      <c r="B182" s="122"/>
      <c r="G182" s="119"/>
    </row>
    <row r="183" spans="1:7" ht="13.5" customHeight="1">
      <c r="A183" s="122"/>
      <c r="B183" s="122"/>
      <c r="G183" s="119"/>
    </row>
    <row r="184" spans="1:7" ht="13.5" customHeight="1">
      <c r="A184" s="122"/>
      <c r="B184" s="122"/>
      <c r="G184" s="119"/>
    </row>
    <row r="185" spans="1:7" ht="13.5" customHeight="1">
      <c r="A185" s="122"/>
      <c r="B185" s="122"/>
      <c r="G185" s="119"/>
    </row>
    <row r="186" spans="1:7" ht="13.5" customHeight="1">
      <c r="A186" s="122"/>
      <c r="B186" s="122"/>
      <c r="G186" s="119"/>
    </row>
    <row r="187" spans="1:7" ht="13.5" customHeight="1">
      <c r="A187" s="122"/>
      <c r="B187" s="122"/>
      <c r="G187" s="119"/>
    </row>
    <row r="188" spans="1:7" ht="13.5" customHeight="1">
      <c r="A188" s="122"/>
      <c r="B188" s="122"/>
      <c r="G188" s="119"/>
    </row>
    <row r="189" spans="1:7" ht="13.5" customHeight="1">
      <c r="A189" s="122"/>
      <c r="B189" s="122"/>
      <c r="G189" s="119"/>
    </row>
    <row r="190" spans="1:7" ht="13.5" customHeight="1">
      <c r="A190" s="122"/>
      <c r="B190" s="122"/>
      <c r="G190" s="119"/>
    </row>
    <row r="191" spans="1:7" ht="13.5" customHeight="1">
      <c r="A191" s="122"/>
      <c r="B191" s="122"/>
      <c r="G191" s="119"/>
    </row>
    <row r="192" spans="1:7" ht="13.5" customHeight="1">
      <c r="A192" s="122"/>
      <c r="B192" s="122"/>
      <c r="G192" s="119"/>
    </row>
    <row r="193" spans="1:7" ht="13.5" customHeight="1">
      <c r="A193" s="122"/>
      <c r="B193" s="122"/>
      <c r="G193" s="119"/>
    </row>
    <row r="194" spans="1:7" ht="13.5" customHeight="1">
      <c r="A194" s="122"/>
      <c r="B194" s="122"/>
      <c r="G194" s="119"/>
    </row>
    <row r="195" spans="1:7" ht="13.5" customHeight="1">
      <c r="A195" s="122"/>
      <c r="B195" s="122"/>
      <c r="G195" s="119"/>
    </row>
    <row r="196" spans="1:7" ht="13.5" customHeight="1">
      <c r="A196" s="122"/>
      <c r="B196" s="122"/>
      <c r="G196" s="119"/>
    </row>
    <row r="197" spans="1:7" ht="13.5" customHeight="1">
      <c r="A197" s="122"/>
      <c r="B197" s="122"/>
      <c r="G197" s="119"/>
    </row>
    <row r="198" spans="1:7" ht="13.5" customHeight="1">
      <c r="A198" s="122"/>
      <c r="B198" s="122"/>
      <c r="G198" s="119"/>
    </row>
    <row r="199" spans="1:7" ht="13.5" customHeight="1">
      <c r="A199" s="122"/>
      <c r="B199" s="122"/>
      <c r="G199" s="119"/>
    </row>
    <row r="200" spans="1:7" ht="13.5" customHeight="1">
      <c r="A200" s="122"/>
      <c r="B200" s="122"/>
      <c r="G200" s="119"/>
    </row>
    <row r="201" spans="1:7" ht="13.5" customHeight="1">
      <c r="A201" s="122"/>
      <c r="B201" s="122"/>
      <c r="G201" s="119"/>
    </row>
    <row r="202" spans="1:7" ht="13.5" customHeight="1">
      <c r="A202" s="122"/>
      <c r="B202" s="122"/>
      <c r="G202" s="119"/>
    </row>
    <row r="203" spans="1:7" ht="13.5" customHeight="1">
      <c r="A203" s="122"/>
      <c r="B203" s="122"/>
      <c r="G203" s="119"/>
    </row>
    <row r="204" spans="1:7" ht="13.5" customHeight="1">
      <c r="A204" s="122"/>
      <c r="B204" s="122"/>
      <c r="G204" s="119"/>
    </row>
    <row r="205" spans="1:7" ht="13.5" customHeight="1">
      <c r="A205" s="122"/>
      <c r="B205" s="122"/>
      <c r="G205" s="119"/>
    </row>
    <row r="206" spans="1:7" ht="13.5" customHeight="1">
      <c r="A206" s="122"/>
      <c r="B206" s="122"/>
      <c r="G206" s="119"/>
    </row>
    <row r="207" spans="1:7" ht="13.5" customHeight="1">
      <c r="A207" s="122"/>
      <c r="B207" s="122"/>
      <c r="G207" s="119"/>
    </row>
    <row r="208" spans="1:7" ht="13.5" customHeight="1">
      <c r="A208" s="122"/>
      <c r="B208" s="122"/>
      <c r="G208" s="119"/>
    </row>
    <row r="209" spans="1:7" ht="13.5" customHeight="1">
      <c r="A209" s="122"/>
      <c r="B209" s="122"/>
      <c r="G209" s="119"/>
    </row>
    <row r="210" spans="1:7" ht="13.5" customHeight="1">
      <c r="A210" s="122"/>
      <c r="B210" s="122"/>
      <c r="G210" s="119"/>
    </row>
    <row r="211" spans="1:7" ht="13.5" customHeight="1">
      <c r="A211" s="122"/>
      <c r="B211" s="122"/>
      <c r="G211" s="119"/>
    </row>
    <row r="212" spans="1:7" ht="13.5" customHeight="1">
      <c r="A212" s="122"/>
      <c r="B212" s="122"/>
      <c r="G212" s="119"/>
    </row>
    <row r="213" spans="1:7" ht="13.5" customHeight="1">
      <c r="A213" s="122"/>
      <c r="B213" s="122"/>
      <c r="G213" s="119"/>
    </row>
    <row r="214" spans="1:7" ht="13.5" customHeight="1">
      <c r="A214" s="122"/>
      <c r="B214" s="122"/>
      <c r="G214" s="119"/>
    </row>
    <row r="215" spans="1:7" ht="13.5" customHeight="1">
      <c r="A215" s="122"/>
      <c r="B215" s="122"/>
      <c r="G215" s="119"/>
    </row>
    <row r="216" spans="1:7" ht="13.5" customHeight="1">
      <c r="A216" s="122"/>
      <c r="B216" s="122"/>
      <c r="G216" s="119"/>
    </row>
    <row r="217" spans="1:7" ht="13.5" customHeight="1">
      <c r="A217" s="122"/>
      <c r="B217" s="122"/>
      <c r="G217" s="119"/>
    </row>
    <row r="218" spans="1:7" ht="13.5" customHeight="1">
      <c r="A218" s="122"/>
      <c r="B218" s="122"/>
      <c r="G218" s="119"/>
    </row>
    <row r="219" spans="1:7" ht="13.5" customHeight="1">
      <c r="A219" s="122"/>
      <c r="B219" s="122"/>
      <c r="G219" s="119"/>
    </row>
    <row r="220" spans="1:7" ht="13.5" customHeight="1">
      <c r="A220" s="122"/>
      <c r="B220" s="122"/>
      <c r="G220" s="119"/>
    </row>
    <row r="221" spans="1:7" ht="13.5" customHeight="1">
      <c r="A221" s="122"/>
      <c r="B221" s="122"/>
      <c r="G221" s="119"/>
    </row>
    <row r="222" spans="1:7" ht="13.5" customHeight="1">
      <c r="A222" s="122"/>
      <c r="B222" s="122"/>
      <c r="G222" s="119"/>
    </row>
    <row r="223" spans="1:7" ht="13.5" customHeight="1">
      <c r="A223" s="122"/>
      <c r="B223" s="122"/>
      <c r="G223" s="119"/>
    </row>
    <row r="224" spans="1:7" ht="13.5" customHeight="1">
      <c r="A224" s="122"/>
      <c r="B224" s="122"/>
      <c r="G224" s="119"/>
    </row>
    <row r="225" spans="1:7" ht="13.5" customHeight="1">
      <c r="A225" s="122"/>
      <c r="B225" s="122"/>
      <c r="G225" s="119"/>
    </row>
    <row r="226" spans="1:7" ht="13.5" customHeight="1">
      <c r="A226" s="122"/>
      <c r="B226" s="122"/>
      <c r="G226" s="119"/>
    </row>
    <row r="227" spans="1:7" ht="13.5" customHeight="1">
      <c r="A227" s="122"/>
      <c r="B227" s="122"/>
      <c r="G227" s="119"/>
    </row>
    <row r="228" spans="1:7" ht="13.5" customHeight="1">
      <c r="A228" s="122"/>
      <c r="B228" s="122"/>
      <c r="G228" s="119"/>
    </row>
    <row r="229" spans="1:7" ht="13.5" customHeight="1">
      <c r="A229" s="122"/>
      <c r="B229" s="122"/>
      <c r="G229" s="119"/>
    </row>
    <row r="230" spans="1:7" ht="13.5" customHeight="1">
      <c r="A230" s="122"/>
      <c r="B230" s="122"/>
      <c r="G230" s="119"/>
    </row>
    <row r="231" spans="1:7" ht="13.5" customHeight="1">
      <c r="A231" s="122"/>
      <c r="B231" s="122"/>
      <c r="G231" s="119"/>
    </row>
    <row r="232" spans="1:7" ht="13.5" customHeight="1">
      <c r="A232" s="122"/>
      <c r="B232" s="122"/>
      <c r="G232" s="119"/>
    </row>
    <row r="233" spans="1:7" ht="13.5" customHeight="1">
      <c r="A233" s="122"/>
      <c r="B233" s="122"/>
      <c r="G233" s="119"/>
    </row>
    <row r="234" spans="1:7" ht="13.5" customHeight="1">
      <c r="A234" s="122"/>
      <c r="B234" s="122"/>
      <c r="G234" s="119"/>
    </row>
    <row r="235" spans="1:7" ht="13.5" customHeight="1">
      <c r="A235" s="122"/>
      <c r="B235" s="122"/>
      <c r="G235" s="119"/>
    </row>
    <row r="236" spans="1:7" ht="13.5" customHeight="1">
      <c r="A236" s="122"/>
      <c r="B236" s="122"/>
      <c r="G236" s="119"/>
    </row>
    <row r="237" spans="1:7" ht="13.5" customHeight="1">
      <c r="A237" s="122"/>
      <c r="B237" s="122"/>
      <c r="G237" s="119"/>
    </row>
    <row r="238" spans="1:7" ht="13.5" customHeight="1">
      <c r="A238" s="122"/>
      <c r="B238" s="122"/>
      <c r="G238" s="119"/>
    </row>
    <row r="239" spans="1:7" ht="13.5" customHeight="1">
      <c r="A239" s="122"/>
      <c r="B239" s="122"/>
      <c r="G239" s="119"/>
    </row>
    <row r="240" spans="1:7" ht="13.5" customHeight="1">
      <c r="A240" s="122"/>
      <c r="B240" s="122"/>
      <c r="G240" s="119"/>
    </row>
    <row r="241" spans="1:7" ht="13.5" customHeight="1">
      <c r="A241" s="122"/>
      <c r="B241" s="122"/>
      <c r="G241" s="119"/>
    </row>
    <row r="242" spans="1:7" ht="13.5" customHeight="1">
      <c r="A242" s="122"/>
      <c r="B242" s="122"/>
      <c r="G242" s="119"/>
    </row>
    <row r="243" spans="1:7" ht="13.5" customHeight="1">
      <c r="A243" s="122"/>
      <c r="B243" s="122"/>
      <c r="G243" s="119"/>
    </row>
    <row r="244" spans="1:7" ht="13.5" customHeight="1">
      <c r="A244" s="122"/>
      <c r="B244" s="122"/>
      <c r="G244" s="119"/>
    </row>
    <row r="245" spans="1:7" ht="13.5" customHeight="1">
      <c r="A245" s="122"/>
      <c r="B245" s="122"/>
      <c r="G245" s="119"/>
    </row>
    <row r="246" spans="1:7" ht="13.5" customHeight="1">
      <c r="A246" s="122"/>
      <c r="B246" s="122"/>
      <c r="G246" s="119"/>
    </row>
    <row r="247" spans="1:7" ht="13.5" customHeight="1">
      <c r="A247" s="122"/>
      <c r="B247" s="122"/>
      <c r="G247" s="119"/>
    </row>
    <row r="248" spans="1:7" ht="13.5" customHeight="1">
      <c r="A248" s="122"/>
      <c r="B248" s="122"/>
      <c r="G248" s="119"/>
    </row>
    <row r="249" spans="1:7" ht="13.5" customHeight="1">
      <c r="A249" s="122"/>
      <c r="B249" s="122"/>
      <c r="G249" s="119"/>
    </row>
    <row r="250" spans="1:7" ht="13.5" customHeight="1">
      <c r="A250" s="122"/>
      <c r="B250" s="122"/>
      <c r="G250" s="119"/>
    </row>
    <row r="251" spans="1:7" ht="13.5" customHeight="1">
      <c r="A251" s="122"/>
      <c r="B251" s="122"/>
      <c r="G251" s="119"/>
    </row>
    <row r="252" spans="1:7" ht="13.5" customHeight="1">
      <c r="A252" s="122"/>
      <c r="B252" s="122"/>
      <c r="G252" s="119"/>
    </row>
    <row r="253" spans="1:7" ht="13.5" customHeight="1">
      <c r="A253" s="122"/>
      <c r="B253" s="122"/>
      <c r="G253" s="119"/>
    </row>
    <row r="254" spans="1:7" ht="13.5" customHeight="1">
      <c r="A254" s="122"/>
      <c r="B254" s="122"/>
      <c r="G254" s="119"/>
    </row>
    <row r="255" spans="1:7" ht="13.5" customHeight="1">
      <c r="A255" s="122"/>
      <c r="B255" s="122"/>
      <c r="G255" s="119"/>
    </row>
    <row r="256" spans="1:7" ht="13.5" customHeight="1">
      <c r="A256" s="122"/>
      <c r="B256" s="122"/>
      <c r="G256" s="119"/>
    </row>
    <row r="257" spans="1:7" ht="13.5" customHeight="1">
      <c r="A257" s="122"/>
      <c r="B257" s="122"/>
      <c r="G257" s="119"/>
    </row>
    <row r="258" spans="1:7" ht="13.5" customHeight="1">
      <c r="A258" s="122"/>
      <c r="B258" s="122"/>
      <c r="G258" s="119"/>
    </row>
    <row r="259" spans="1:7" ht="13.5" customHeight="1">
      <c r="A259" s="122"/>
      <c r="B259" s="122"/>
      <c r="G259" s="119"/>
    </row>
    <row r="260" spans="1:7" ht="13.5" customHeight="1">
      <c r="A260" s="122"/>
      <c r="B260" s="122"/>
      <c r="G260" s="119"/>
    </row>
    <row r="261" spans="1:7" ht="13.5" customHeight="1">
      <c r="A261" s="122"/>
      <c r="B261" s="122"/>
      <c r="G261" s="119"/>
    </row>
    <row r="262" spans="1:7" ht="13.5" customHeight="1">
      <c r="A262" s="122"/>
      <c r="B262" s="122"/>
      <c r="G262" s="119"/>
    </row>
    <row r="263" spans="1:7" ht="13.5" customHeight="1">
      <c r="A263" s="122"/>
      <c r="B263" s="122"/>
      <c r="G263" s="119"/>
    </row>
    <row r="264" spans="1:7" ht="13.5" customHeight="1">
      <c r="A264" s="122"/>
      <c r="B264" s="122"/>
      <c r="G264" s="119"/>
    </row>
    <row r="265" spans="1:7" ht="13.5" customHeight="1">
      <c r="A265" s="122"/>
      <c r="B265" s="122"/>
      <c r="G265" s="119"/>
    </row>
    <row r="266" spans="1:7" ht="13.5" customHeight="1">
      <c r="A266" s="122"/>
      <c r="B266" s="122"/>
      <c r="G266" s="119"/>
    </row>
    <row r="267" spans="1:7" ht="13.5" customHeight="1">
      <c r="A267" s="122"/>
      <c r="B267" s="122"/>
      <c r="G267" s="119"/>
    </row>
    <row r="268" spans="1:7" ht="13.5" customHeight="1">
      <c r="A268" s="122"/>
      <c r="B268" s="122"/>
      <c r="G268" s="119"/>
    </row>
    <row r="269" spans="1:7" ht="13.5" customHeight="1">
      <c r="A269" s="122"/>
      <c r="B269" s="122"/>
      <c r="G269" s="119"/>
    </row>
    <row r="270" spans="1:7" ht="13.5" customHeight="1">
      <c r="A270" s="122"/>
      <c r="B270" s="122"/>
      <c r="G270" s="119"/>
    </row>
    <row r="271" spans="1:7" ht="13.5" customHeight="1">
      <c r="A271" s="122"/>
      <c r="B271" s="122"/>
      <c r="G271" s="119"/>
    </row>
    <row r="272" spans="1:7" ht="13.5" customHeight="1">
      <c r="A272" s="122"/>
      <c r="B272" s="122"/>
      <c r="G272" s="119"/>
    </row>
    <row r="273" spans="1:7" ht="13.5" customHeight="1">
      <c r="A273" s="122"/>
      <c r="B273" s="122"/>
      <c r="G273" s="119"/>
    </row>
    <row r="274" spans="1:7" ht="13.5" customHeight="1">
      <c r="A274" s="122"/>
      <c r="B274" s="122"/>
      <c r="G274" s="119"/>
    </row>
    <row r="275" spans="1:7" ht="13.5" customHeight="1">
      <c r="A275" s="122"/>
      <c r="B275" s="122"/>
      <c r="G275" s="119"/>
    </row>
    <row r="276" spans="1:7" ht="13.5" customHeight="1">
      <c r="A276" s="122"/>
      <c r="B276" s="122"/>
      <c r="G276" s="119"/>
    </row>
    <row r="277" spans="1:7" ht="13.5" customHeight="1">
      <c r="A277" s="122"/>
      <c r="B277" s="122"/>
      <c r="G277" s="119"/>
    </row>
    <row r="278" spans="1:7" ht="13.5" customHeight="1">
      <c r="A278" s="122"/>
      <c r="B278" s="122"/>
      <c r="G278" s="119"/>
    </row>
    <row r="279" spans="1:7" ht="13.5" customHeight="1">
      <c r="A279" s="122"/>
      <c r="B279" s="122"/>
      <c r="G279" s="119"/>
    </row>
    <row r="280" spans="1:7" ht="13.5" customHeight="1">
      <c r="A280" s="122"/>
      <c r="B280" s="122"/>
      <c r="G280" s="119"/>
    </row>
    <row r="281" spans="1:7" ht="13.5" customHeight="1">
      <c r="A281" s="122"/>
      <c r="B281" s="122"/>
      <c r="G281" s="119"/>
    </row>
    <row r="282" spans="1:7" ht="13.5" customHeight="1">
      <c r="A282" s="122"/>
      <c r="B282" s="122"/>
      <c r="G282" s="119"/>
    </row>
    <row r="283" spans="1:7" ht="13.5" customHeight="1">
      <c r="A283" s="122"/>
      <c r="B283" s="122"/>
      <c r="G283" s="119"/>
    </row>
    <row r="284" spans="1:7" ht="13.5" customHeight="1">
      <c r="A284" s="122"/>
      <c r="B284" s="122"/>
      <c r="G284" s="119"/>
    </row>
    <row r="285" spans="1:7" ht="13.5" customHeight="1">
      <c r="A285" s="122"/>
      <c r="B285" s="122"/>
      <c r="G285" s="119"/>
    </row>
    <row r="286" spans="1:7" ht="13.5" customHeight="1">
      <c r="A286" s="122"/>
      <c r="B286" s="122"/>
      <c r="G286" s="119"/>
    </row>
    <row r="287" spans="1:7" ht="13.5" customHeight="1">
      <c r="A287" s="122"/>
      <c r="B287" s="122"/>
      <c r="G287" s="119"/>
    </row>
    <row r="288" spans="1:7" ht="13.5" customHeight="1">
      <c r="A288" s="122"/>
      <c r="B288" s="122"/>
      <c r="G288" s="119"/>
    </row>
    <row r="289" spans="1:7" ht="13.5" customHeight="1">
      <c r="A289" s="122"/>
      <c r="B289" s="122"/>
      <c r="G289" s="119"/>
    </row>
    <row r="290" spans="1:7" ht="13.5" customHeight="1">
      <c r="A290" s="122"/>
      <c r="B290" s="122"/>
      <c r="G290" s="119"/>
    </row>
    <row r="291" spans="1:7" ht="13.5" customHeight="1">
      <c r="A291" s="122"/>
      <c r="B291" s="122"/>
      <c r="G291" s="119"/>
    </row>
    <row r="292" spans="1:7" ht="13.5" customHeight="1">
      <c r="A292" s="122"/>
      <c r="B292" s="122"/>
      <c r="G292" s="119"/>
    </row>
    <row r="293" spans="1:7" ht="13.5" customHeight="1">
      <c r="A293" s="122"/>
      <c r="B293" s="122"/>
      <c r="G293" s="119"/>
    </row>
    <row r="294" spans="1:7" ht="13.5" customHeight="1">
      <c r="A294" s="122"/>
      <c r="B294" s="122"/>
      <c r="G294" s="119"/>
    </row>
    <row r="295" spans="1:7" ht="13.5" customHeight="1">
      <c r="A295" s="122"/>
      <c r="B295" s="122"/>
      <c r="G295" s="119"/>
    </row>
    <row r="296" spans="1:7" ht="13.5" customHeight="1">
      <c r="A296" s="122"/>
      <c r="B296" s="122"/>
      <c r="G296" s="119"/>
    </row>
    <row r="297" spans="1:7" ht="13.5" customHeight="1">
      <c r="A297" s="122"/>
      <c r="B297" s="122"/>
      <c r="G297" s="119"/>
    </row>
    <row r="298" spans="1:7" ht="13.5" customHeight="1">
      <c r="A298" s="122"/>
      <c r="B298" s="122"/>
      <c r="G298" s="119"/>
    </row>
    <row r="299" spans="1:7" ht="13.5" customHeight="1">
      <c r="A299" s="122"/>
      <c r="B299" s="122"/>
      <c r="G299" s="119"/>
    </row>
    <row r="300" spans="1:7" ht="13.5" customHeight="1">
      <c r="A300" s="122"/>
      <c r="B300" s="122"/>
      <c r="G300" s="119"/>
    </row>
    <row r="301" spans="1:7" ht="13.5" customHeight="1">
      <c r="A301" s="122"/>
      <c r="B301" s="122"/>
      <c r="G301" s="119"/>
    </row>
    <row r="302" spans="1:7" ht="13.5" customHeight="1">
      <c r="A302" s="122"/>
      <c r="B302" s="122"/>
      <c r="G302" s="119"/>
    </row>
    <row r="303" spans="1:7" ht="13.5" customHeight="1">
      <c r="A303" s="122"/>
      <c r="B303" s="122"/>
      <c r="G303" s="119"/>
    </row>
    <row r="304" spans="1:7" ht="13.5" customHeight="1">
      <c r="A304" s="122"/>
      <c r="B304" s="122"/>
      <c r="G304" s="119"/>
    </row>
    <row r="305" spans="1:7" ht="13.5" customHeight="1">
      <c r="A305" s="122"/>
      <c r="B305" s="122"/>
      <c r="G305" s="119"/>
    </row>
    <row r="306" spans="1:7" ht="13.5" customHeight="1">
      <c r="A306" s="122"/>
      <c r="B306" s="122"/>
      <c r="G306" s="119"/>
    </row>
    <row r="307" spans="1:7" ht="13.5" customHeight="1">
      <c r="A307" s="122"/>
      <c r="B307" s="122"/>
      <c r="G307" s="119"/>
    </row>
    <row r="308" spans="1:7" ht="13.5" customHeight="1">
      <c r="A308" s="122"/>
      <c r="B308" s="122"/>
      <c r="G308" s="119"/>
    </row>
    <row r="309" spans="1:7" ht="13.5" customHeight="1">
      <c r="A309" s="122"/>
      <c r="B309" s="122"/>
      <c r="G309" s="119"/>
    </row>
    <row r="310" spans="1:7" ht="13.5" customHeight="1">
      <c r="A310" s="122"/>
      <c r="B310" s="122"/>
      <c r="G310" s="119"/>
    </row>
    <row r="311" spans="1:7" ht="13.5" customHeight="1">
      <c r="A311" s="122"/>
      <c r="B311" s="122"/>
      <c r="G311" s="119"/>
    </row>
    <row r="312" spans="1:7" ht="13.5" customHeight="1">
      <c r="A312" s="122"/>
      <c r="B312" s="122"/>
      <c r="G312" s="119"/>
    </row>
    <row r="313" spans="1:7" ht="13.5" customHeight="1">
      <c r="A313" s="122"/>
      <c r="B313" s="122"/>
      <c r="G313" s="119"/>
    </row>
    <row r="314" spans="1:7" ht="13.5" customHeight="1">
      <c r="A314" s="122"/>
      <c r="B314" s="122"/>
      <c r="G314" s="119"/>
    </row>
    <row r="315" spans="1:7" ht="13.5" customHeight="1">
      <c r="A315" s="122"/>
      <c r="B315" s="122"/>
      <c r="G315" s="119"/>
    </row>
    <row r="316" spans="1:7" ht="13.5" customHeight="1">
      <c r="A316" s="122"/>
      <c r="B316" s="122"/>
      <c r="G316" s="119"/>
    </row>
    <row r="317" spans="1:7" ht="13.5" customHeight="1">
      <c r="A317" s="122"/>
      <c r="B317" s="122"/>
      <c r="G317" s="119"/>
    </row>
    <row r="318" spans="1:7" ht="13.5" customHeight="1">
      <c r="A318" s="122"/>
      <c r="B318" s="122"/>
      <c r="G318" s="119"/>
    </row>
    <row r="319" spans="1:7" ht="13.5" customHeight="1">
      <c r="A319" s="122"/>
      <c r="B319" s="122"/>
      <c r="G319" s="119"/>
    </row>
    <row r="320" spans="1:7" ht="13.5" customHeight="1">
      <c r="A320" s="122"/>
      <c r="B320" s="122"/>
      <c r="G320" s="119"/>
    </row>
    <row r="321" spans="1:7" ht="13.5" customHeight="1">
      <c r="A321" s="122"/>
      <c r="B321" s="122"/>
      <c r="G321" s="119"/>
    </row>
    <row r="322" spans="1:7" ht="13.5" customHeight="1">
      <c r="A322" s="122"/>
      <c r="B322" s="122"/>
      <c r="G322" s="119"/>
    </row>
    <row r="323" spans="1:7" ht="13.5" customHeight="1">
      <c r="A323" s="122"/>
      <c r="B323" s="122"/>
      <c r="G323" s="119"/>
    </row>
    <row r="324" spans="1:7" ht="13.5" customHeight="1">
      <c r="A324" s="122"/>
      <c r="B324" s="122"/>
      <c r="G324" s="119"/>
    </row>
    <row r="325" spans="1:7" ht="13.5" customHeight="1">
      <c r="A325" s="122"/>
      <c r="B325" s="122"/>
      <c r="G325" s="119"/>
    </row>
    <row r="326" spans="1:7" ht="13.5" customHeight="1">
      <c r="A326" s="122"/>
      <c r="B326" s="122"/>
      <c r="G326" s="119"/>
    </row>
    <row r="327" spans="1:7" ht="13.5" customHeight="1">
      <c r="A327" s="122"/>
      <c r="B327" s="122"/>
      <c r="G327" s="119"/>
    </row>
    <row r="328" spans="1:7" ht="13.5" customHeight="1">
      <c r="A328" s="122"/>
      <c r="B328" s="122"/>
      <c r="G328" s="119"/>
    </row>
    <row r="329" spans="1:7" ht="13.5" customHeight="1">
      <c r="A329" s="122"/>
      <c r="B329" s="122"/>
      <c r="G329" s="119"/>
    </row>
    <row r="330" spans="1:7" ht="13.5" customHeight="1">
      <c r="A330" s="122"/>
      <c r="B330" s="122"/>
      <c r="G330" s="119"/>
    </row>
    <row r="331" spans="1:7" ht="13.5" customHeight="1">
      <c r="A331" s="122"/>
      <c r="B331" s="122"/>
      <c r="G331" s="119"/>
    </row>
    <row r="332" spans="1:7" ht="13.5" customHeight="1">
      <c r="A332" s="122"/>
      <c r="B332" s="122"/>
      <c r="G332" s="119"/>
    </row>
    <row r="333" spans="1:7" ht="13.5" customHeight="1">
      <c r="A333" s="122"/>
      <c r="B333" s="122"/>
      <c r="G333" s="119"/>
    </row>
    <row r="334" spans="1:7" ht="13.5" customHeight="1">
      <c r="A334" s="122"/>
      <c r="B334" s="122"/>
      <c r="G334" s="119"/>
    </row>
    <row r="335" spans="1:7" ht="13.5" customHeight="1">
      <c r="A335" s="122"/>
      <c r="B335" s="122"/>
      <c r="G335" s="119"/>
    </row>
    <row r="336" spans="1:7" ht="13.5" customHeight="1">
      <c r="A336" s="122"/>
      <c r="B336" s="122"/>
      <c r="G336" s="119"/>
    </row>
    <row r="337" spans="1:7" ht="13.5" customHeight="1">
      <c r="A337" s="122"/>
      <c r="B337" s="122"/>
      <c r="G337" s="119"/>
    </row>
    <row r="338" spans="1:7" ht="13.5" customHeight="1">
      <c r="A338" s="122"/>
      <c r="B338" s="122"/>
      <c r="G338" s="119"/>
    </row>
    <row r="339" spans="1:7" ht="13.5" customHeight="1">
      <c r="A339" s="122"/>
      <c r="B339" s="122"/>
      <c r="G339" s="119"/>
    </row>
    <row r="340" spans="1:7" ht="13.5" customHeight="1">
      <c r="A340" s="122"/>
      <c r="B340" s="122"/>
      <c r="G340" s="119"/>
    </row>
    <row r="341" spans="1:7" ht="13.5" customHeight="1">
      <c r="A341" s="122"/>
      <c r="B341" s="122"/>
      <c r="G341" s="119"/>
    </row>
    <row r="342" spans="1:7" ht="13.5" customHeight="1">
      <c r="A342" s="122"/>
      <c r="B342" s="122"/>
      <c r="G342" s="119"/>
    </row>
    <row r="343" spans="1:7" ht="13.5" customHeight="1">
      <c r="A343" s="122"/>
      <c r="B343" s="122"/>
      <c r="G343" s="119"/>
    </row>
    <row r="344" spans="1:7" ht="13.5" customHeight="1">
      <c r="A344" s="122"/>
      <c r="B344" s="122"/>
      <c r="G344" s="119"/>
    </row>
    <row r="345" spans="1:7" ht="13.5" customHeight="1">
      <c r="A345" s="122"/>
      <c r="B345" s="122"/>
      <c r="G345" s="119"/>
    </row>
    <row r="346" spans="1:7" ht="13.5" customHeight="1">
      <c r="A346" s="122"/>
      <c r="B346" s="122"/>
      <c r="G346" s="119"/>
    </row>
    <row r="347" spans="1:7" ht="13.5" customHeight="1">
      <c r="A347" s="122"/>
      <c r="B347" s="122"/>
      <c r="G347" s="119"/>
    </row>
    <row r="348" spans="1:7" ht="13.5" customHeight="1">
      <c r="A348" s="122"/>
      <c r="B348" s="122"/>
      <c r="G348" s="119"/>
    </row>
    <row r="349" spans="1:7" ht="13.5" customHeight="1">
      <c r="A349" s="122"/>
      <c r="B349" s="122"/>
      <c r="G349" s="119"/>
    </row>
    <row r="350" spans="1:7" ht="13.5" customHeight="1">
      <c r="A350" s="122"/>
      <c r="B350" s="122"/>
      <c r="G350" s="119"/>
    </row>
    <row r="351" spans="1:7" ht="13.5" customHeight="1">
      <c r="A351" s="122"/>
      <c r="B351" s="122"/>
      <c r="G351" s="119"/>
    </row>
    <row r="352" spans="1:7" ht="13.5" customHeight="1">
      <c r="A352" s="122"/>
      <c r="B352" s="122"/>
      <c r="G352" s="119"/>
    </row>
    <row r="353" spans="1:7" ht="13.5" customHeight="1">
      <c r="A353" s="122"/>
      <c r="B353" s="122"/>
      <c r="G353" s="119"/>
    </row>
    <row r="354" spans="1:7" ht="13.5" customHeight="1">
      <c r="A354" s="122"/>
      <c r="B354" s="122"/>
      <c r="G354" s="119"/>
    </row>
    <row r="355" spans="1:7" ht="13.5" customHeight="1">
      <c r="A355" s="122"/>
      <c r="B355" s="122"/>
      <c r="G355" s="119"/>
    </row>
    <row r="356" spans="1:7" ht="13.5" customHeight="1">
      <c r="A356" s="122"/>
      <c r="B356" s="122"/>
      <c r="G356" s="119"/>
    </row>
    <row r="357" spans="1:7" ht="13.5" customHeight="1">
      <c r="A357" s="122"/>
      <c r="B357" s="122"/>
      <c r="G357" s="119"/>
    </row>
    <row r="358" spans="1:7" ht="13.5" customHeight="1">
      <c r="A358" s="122"/>
      <c r="B358" s="122"/>
      <c r="G358" s="119"/>
    </row>
    <row r="359" spans="1:7" ht="13.5" customHeight="1">
      <c r="A359" s="122"/>
      <c r="B359" s="122"/>
      <c r="G359" s="119"/>
    </row>
    <row r="360" spans="1:7" ht="13.5" customHeight="1">
      <c r="A360" s="122"/>
      <c r="B360" s="122"/>
      <c r="G360" s="119"/>
    </row>
    <row r="361" spans="1:7" ht="13.5" customHeight="1">
      <c r="A361" s="122"/>
      <c r="B361" s="122"/>
      <c r="G361" s="119"/>
    </row>
    <row r="362" spans="1:7" ht="13.5" customHeight="1">
      <c r="A362" s="122"/>
      <c r="B362" s="122"/>
      <c r="G362" s="119"/>
    </row>
    <row r="363" spans="1:7" ht="13.5" customHeight="1">
      <c r="A363" s="122"/>
      <c r="B363" s="122"/>
      <c r="G363" s="119"/>
    </row>
    <row r="364" spans="1:7" ht="13.5" customHeight="1">
      <c r="A364" s="122"/>
      <c r="B364" s="122"/>
      <c r="G364" s="119"/>
    </row>
    <row r="365" spans="1:7" ht="13.5" customHeight="1">
      <c r="A365" s="122"/>
      <c r="B365" s="122"/>
      <c r="G365" s="119"/>
    </row>
    <row r="366" spans="1:7" ht="13.5" customHeight="1">
      <c r="A366" s="122"/>
      <c r="B366" s="122"/>
      <c r="G366" s="119"/>
    </row>
    <row r="367" spans="1:7" ht="13.5" customHeight="1">
      <c r="A367" s="122"/>
      <c r="B367" s="122"/>
      <c r="G367" s="119"/>
    </row>
    <row r="368" spans="1:7" ht="13.5" customHeight="1">
      <c r="A368" s="122"/>
      <c r="B368" s="122"/>
      <c r="G368" s="119"/>
    </row>
    <row r="369" spans="1:7" ht="13.5" customHeight="1">
      <c r="A369" s="122"/>
      <c r="B369" s="122"/>
      <c r="G369" s="119"/>
    </row>
    <row r="370" spans="1:7" ht="13.5" customHeight="1">
      <c r="A370" s="122"/>
      <c r="B370" s="122"/>
      <c r="G370" s="119"/>
    </row>
    <row r="371" spans="1:7" ht="13.5" customHeight="1">
      <c r="A371" s="122"/>
      <c r="B371" s="122"/>
      <c r="G371" s="119"/>
    </row>
    <row r="372" spans="1:7" ht="13.5" customHeight="1">
      <c r="A372" s="122"/>
      <c r="B372" s="122"/>
      <c r="G372" s="119"/>
    </row>
    <row r="373" spans="1:7" ht="13.5" customHeight="1">
      <c r="A373" s="122"/>
      <c r="B373" s="122"/>
      <c r="G373" s="119"/>
    </row>
    <row r="374" spans="1:7" ht="13.5" customHeight="1">
      <c r="A374" s="122"/>
      <c r="B374" s="122"/>
      <c r="G374" s="119"/>
    </row>
    <row r="375" spans="1:7" ht="13.5" customHeight="1">
      <c r="A375" s="122"/>
      <c r="B375" s="122"/>
      <c r="G375" s="119"/>
    </row>
    <row r="376" spans="1:7" ht="13.5" customHeight="1">
      <c r="A376" s="122"/>
      <c r="B376" s="122"/>
      <c r="G376" s="119"/>
    </row>
    <row r="377" spans="1:7" ht="13.5" customHeight="1">
      <c r="A377" s="122"/>
      <c r="B377" s="122"/>
      <c r="G377" s="119"/>
    </row>
    <row r="378" spans="1:7" ht="13.5" customHeight="1">
      <c r="A378" s="122"/>
      <c r="B378" s="122"/>
      <c r="G378" s="119"/>
    </row>
    <row r="379" spans="1:7" ht="13.5" customHeight="1">
      <c r="A379" s="122"/>
      <c r="B379" s="122"/>
      <c r="G379" s="119"/>
    </row>
    <row r="380" spans="1:7" ht="13.5" customHeight="1">
      <c r="A380" s="122"/>
      <c r="B380" s="122"/>
      <c r="G380" s="119"/>
    </row>
    <row r="381" spans="1:7" ht="13.5" customHeight="1">
      <c r="A381" s="122"/>
      <c r="B381" s="122"/>
      <c r="G381" s="119"/>
    </row>
    <row r="382" spans="1:7" ht="13.5" customHeight="1">
      <c r="A382" s="122"/>
      <c r="B382" s="122"/>
      <c r="G382" s="119"/>
    </row>
    <row r="383" spans="1:7" ht="13.5" customHeight="1">
      <c r="A383" s="122"/>
      <c r="B383" s="122"/>
      <c r="G383" s="119"/>
    </row>
    <row r="384" spans="1:7" ht="13.5" customHeight="1">
      <c r="A384" s="122"/>
      <c r="B384" s="122"/>
      <c r="G384" s="119"/>
    </row>
    <row r="385" spans="1:7" ht="13.5" customHeight="1">
      <c r="A385" s="122"/>
      <c r="B385" s="122"/>
      <c r="G385" s="119"/>
    </row>
    <row r="386" spans="1:7" ht="13.5" customHeight="1">
      <c r="A386" s="122"/>
      <c r="B386" s="122"/>
      <c r="G386" s="119"/>
    </row>
    <row r="387" spans="1:7" ht="13.5" customHeight="1">
      <c r="A387" s="122"/>
      <c r="B387" s="122"/>
      <c r="G387" s="119"/>
    </row>
    <row r="388" spans="1:7" ht="13.5" customHeight="1">
      <c r="A388" s="122"/>
      <c r="B388" s="122"/>
      <c r="G388" s="119"/>
    </row>
    <row r="389" spans="1:7" ht="13.5" customHeight="1">
      <c r="A389" s="122"/>
      <c r="B389" s="122"/>
      <c r="G389" s="119"/>
    </row>
    <row r="390" spans="1:7" ht="13.5" customHeight="1">
      <c r="A390" s="122"/>
      <c r="B390" s="122"/>
      <c r="G390" s="119"/>
    </row>
    <row r="391" spans="1:7" ht="13.5" customHeight="1">
      <c r="A391" s="122"/>
      <c r="B391" s="122"/>
      <c r="G391" s="119"/>
    </row>
    <row r="392" spans="1:7" ht="13.5" customHeight="1">
      <c r="A392" s="122"/>
      <c r="B392" s="122"/>
      <c r="G392" s="119"/>
    </row>
    <row r="393" spans="1:7" ht="13.5" customHeight="1">
      <c r="A393" s="122"/>
      <c r="B393" s="122"/>
      <c r="G393" s="119"/>
    </row>
    <row r="394" spans="1:7" ht="13.5" customHeight="1">
      <c r="A394" s="122"/>
      <c r="B394" s="122"/>
      <c r="G394" s="119"/>
    </row>
    <row r="395" spans="1:7" ht="13.5" customHeight="1">
      <c r="A395" s="122"/>
      <c r="B395" s="122"/>
      <c r="G395" s="119"/>
    </row>
    <row r="396" spans="1:7" ht="13.5" customHeight="1">
      <c r="A396" s="122"/>
      <c r="B396" s="122"/>
      <c r="G396" s="119"/>
    </row>
    <row r="397" spans="1:7" ht="13.5" customHeight="1">
      <c r="A397" s="122"/>
      <c r="B397" s="122"/>
      <c r="G397" s="119"/>
    </row>
    <row r="398" spans="1:7" ht="13.5" customHeight="1">
      <c r="A398" s="122"/>
      <c r="B398" s="122"/>
      <c r="G398" s="119"/>
    </row>
    <row r="399" spans="1:7" ht="13.5" customHeight="1">
      <c r="A399" s="122"/>
      <c r="B399" s="122"/>
      <c r="G399" s="119"/>
    </row>
    <row r="400" spans="1:7" ht="13.5" customHeight="1">
      <c r="A400" s="122"/>
      <c r="B400" s="122"/>
      <c r="G400" s="119"/>
    </row>
    <row r="401" spans="1:7" ht="13.5" customHeight="1">
      <c r="A401" s="122"/>
      <c r="B401" s="122"/>
      <c r="G401" s="119"/>
    </row>
    <row r="402" spans="1:7" ht="13.5" customHeight="1">
      <c r="A402" s="122"/>
      <c r="B402" s="122"/>
      <c r="G402" s="119"/>
    </row>
    <row r="403" spans="1:7" ht="13.5" customHeight="1">
      <c r="A403" s="122"/>
      <c r="B403" s="122"/>
      <c r="G403" s="119"/>
    </row>
    <row r="404" spans="1:7" ht="13.5" customHeight="1">
      <c r="A404" s="122"/>
      <c r="B404" s="122"/>
      <c r="G404" s="119"/>
    </row>
    <row r="405" spans="1:7" ht="13.5" customHeight="1">
      <c r="A405" s="122"/>
      <c r="B405" s="122"/>
      <c r="G405" s="119"/>
    </row>
    <row r="406" spans="1:7" ht="13.5" customHeight="1">
      <c r="A406" s="122"/>
      <c r="B406" s="122"/>
      <c r="G406" s="119"/>
    </row>
    <row r="407" spans="1:7" ht="13.5" customHeight="1">
      <c r="A407" s="122"/>
      <c r="B407" s="122"/>
      <c r="G407" s="119"/>
    </row>
    <row r="408" spans="1:7" ht="13.5" customHeight="1">
      <c r="A408" s="122"/>
      <c r="B408" s="122"/>
      <c r="G408" s="119"/>
    </row>
    <row r="409" spans="1:7" ht="13.5" customHeight="1">
      <c r="A409" s="122"/>
      <c r="B409" s="122"/>
      <c r="G409" s="119"/>
    </row>
    <row r="410" spans="1:7" ht="13.5" customHeight="1">
      <c r="A410" s="122"/>
      <c r="B410" s="122"/>
      <c r="G410" s="119"/>
    </row>
    <row r="411" spans="1:7" ht="13.5" customHeight="1">
      <c r="A411" s="122"/>
      <c r="B411" s="122"/>
      <c r="G411" s="119"/>
    </row>
    <row r="412" spans="1:7" ht="13.5" customHeight="1">
      <c r="A412" s="122"/>
      <c r="B412" s="122"/>
      <c r="G412" s="119"/>
    </row>
    <row r="413" spans="1:7" ht="13.5" customHeight="1">
      <c r="A413" s="122"/>
      <c r="B413" s="122"/>
      <c r="G413" s="119"/>
    </row>
    <row r="414" spans="1:7" ht="13.5" customHeight="1">
      <c r="A414" s="122"/>
      <c r="B414" s="122"/>
      <c r="G414" s="119"/>
    </row>
    <row r="415" spans="1:7" ht="13.5" customHeight="1">
      <c r="A415" s="122"/>
      <c r="B415" s="122"/>
      <c r="G415" s="119"/>
    </row>
    <row r="416" spans="1:7" ht="13.5" customHeight="1">
      <c r="A416" s="122"/>
      <c r="B416" s="122"/>
      <c r="G416" s="119"/>
    </row>
    <row r="417" spans="1:7" ht="13.5" customHeight="1">
      <c r="A417" s="122"/>
      <c r="B417" s="122"/>
      <c r="G417" s="119"/>
    </row>
    <row r="418" spans="1:7" ht="13.5" customHeight="1">
      <c r="A418" s="122"/>
      <c r="B418" s="122"/>
      <c r="G418" s="119"/>
    </row>
    <row r="419" spans="1:7" ht="13.5" customHeight="1">
      <c r="A419" s="122"/>
      <c r="B419" s="122"/>
      <c r="G419" s="119"/>
    </row>
    <row r="420" spans="1:7" ht="13.5" customHeight="1">
      <c r="A420" s="122"/>
      <c r="B420" s="122"/>
      <c r="G420" s="119"/>
    </row>
    <row r="421" spans="1:7" ht="13.5" customHeight="1">
      <c r="A421" s="122"/>
      <c r="B421" s="122"/>
      <c r="G421" s="119"/>
    </row>
    <row r="422" spans="1:7" ht="13.5" customHeight="1">
      <c r="A422" s="122"/>
      <c r="B422" s="122"/>
      <c r="G422" s="119"/>
    </row>
    <row r="423" spans="1:7" ht="13.5" customHeight="1">
      <c r="A423" s="122"/>
      <c r="B423" s="122"/>
      <c r="G423" s="119"/>
    </row>
    <row r="424" spans="1:7" ht="13.5" customHeight="1">
      <c r="A424" s="122"/>
      <c r="B424" s="122"/>
      <c r="G424" s="119"/>
    </row>
    <row r="425" spans="1:7" ht="13.5" customHeight="1">
      <c r="A425" s="122"/>
      <c r="B425" s="122"/>
      <c r="G425" s="119"/>
    </row>
    <row r="426" spans="1:7" ht="13.5" customHeight="1">
      <c r="A426" s="122"/>
      <c r="B426" s="122"/>
      <c r="G426" s="119"/>
    </row>
    <row r="427" spans="1:7" ht="13.5" customHeight="1">
      <c r="A427" s="122"/>
      <c r="B427" s="122"/>
      <c r="G427" s="119"/>
    </row>
    <row r="428" spans="1:7" ht="13.5" customHeight="1">
      <c r="A428" s="122"/>
      <c r="B428" s="122"/>
      <c r="G428" s="119"/>
    </row>
    <row r="429" spans="1:7" ht="13.5" customHeight="1">
      <c r="A429" s="122"/>
      <c r="B429" s="122"/>
      <c r="G429" s="119"/>
    </row>
    <row r="430" spans="1:7" ht="13.5" customHeight="1">
      <c r="A430" s="122"/>
      <c r="B430" s="122"/>
      <c r="G430" s="119"/>
    </row>
    <row r="431" spans="1:7" ht="13.5" customHeight="1">
      <c r="A431" s="122"/>
      <c r="B431" s="122"/>
      <c r="G431" s="119"/>
    </row>
    <row r="432" spans="1:7" ht="13.5" customHeight="1">
      <c r="A432" s="122"/>
      <c r="B432" s="122"/>
      <c r="G432" s="119"/>
    </row>
    <row r="433" spans="1:7" ht="13.5" customHeight="1">
      <c r="A433" s="122"/>
      <c r="B433" s="122"/>
      <c r="G433" s="119"/>
    </row>
    <row r="434" spans="1:7" ht="13.5" customHeight="1">
      <c r="A434" s="122"/>
      <c r="B434" s="122"/>
      <c r="G434" s="119"/>
    </row>
    <row r="435" spans="1:7" ht="13.5" customHeight="1">
      <c r="A435" s="122"/>
      <c r="B435" s="122"/>
      <c r="G435" s="119"/>
    </row>
    <row r="436" spans="1:7" ht="13.5" customHeight="1">
      <c r="A436" s="122"/>
      <c r="B436" s="122"/>
      <c r="G436" s="119"/>
    </row>
    <row r="437" spans="1:7" ht="13.5" customHeight="1">
      <c r="A437" s="122"/>
      <c r="B437" s="122"/>
      <c r="G437" s="119"/>
    </row>
    <row r="438" spans="1:7" ht="13.5" customHeight="1">
      <c r="A438" s="122"/>
      <c r="B438" s="122"/>
      <c r="G438" s="119"/>
    </row>
    <row r="439" spans="1:7" ht="13.5" customHeight="1">
      <c r="A439" s="122"/>
      <c r="B439" s="122"/>
      <c r="G439" s="119"/>
    </row>
    <row r="440" spans="1:7" ht="13.5" customHeight="1">
      <c r="A440" s="122"/>
      <c r="B440" s="122"/>
      <c r="G440" s="119"/>
    </row>
    <row r="441" spans="1:7" ht="13.5" customHeight="1">
      <c r="A441" s="122"/>
      <c r="B441" s="122"/>
      <c r="G441" s="119"/>
    </row>
    <row r="442" spans="1:7" ht="13.5" customHeight="1">
      <c r="A442" s="122"/>
      <c r="B442" s="122"/>
      <c r="G442" s="119"/>
    </row>
    <row r="443" spans="1:7" ht="13.5" customHeight="1">
      <c r="A443" s="122"/>
      <c r="B443" s="122"/>
      <c r="G443" s="119"/>
    </row>
    <row r="444" spans="1:7" ht="13.5" customHeight="1">
      <c r="A444" s="122"/>
      <c r="B444" s="122"/>
      <c r="G444" s="119"/>
    </row>
    <row r="445" spans="1:7" ht="13.5" customHeight="1">
      <c r="A445" s="122"/>
      <c r="B445" s="122"/>
      <c r="G445" s="119"/>
    </row>
    <row r="446" spans="1:7" ht="13.5" customHeight="1">
      <c r="A446" s="122"/>
      <c r="B446" s="122"/>
      <c r="G446" s="119"/>
    </row>
    <row r="447" spans="1:7" ht="13.5" customHeight="1">
      <c r="A447" s="122"/>
      <c r="B447" s="122"/>
      <c r="G447" s="119"/>
    </row>
    <row r="448" spans="1:7" ht="13.5" customHeight="1">
      <c r="A448" s="122"/>
      <c r="B448" s="122"/>
      <c r="G448" s="119"/>
    </row>
    <row r="449" spans="1:7" ht="13.5" customHeight="1">
      <c r="A449" s="122"/>
      <c r="B449" s="122"/>
      <c r="G449" s="119"/>
    </row>
    <row r="450" spans="1:7" ht="13.5" customHeight="1">
      <c r="A450" s="122"/>
      <c r="B450" s="122"/>
      <c r="G450" s="119"/>
    </row>
    <row r="451" spans="1:7" ht="13.5" customHeight="1">
      <c r="A451" s="122"/>
      <c r="B451" s="122"/>
      <c r="G451" s="119"/>
    </row>
    <row r="452" spans="1:7" ht="13.5" customHeight="1">
      <c r="A452" s="122"/>
      <c r="B452" s="122"/>
      <c r="G452" s="119"/>
    </row>
    <row r="453" spans="1:7" ht="13.5" customHeight="1">
      <c r="A453" s="122"/>
      <c r="B453" s="122"/>
      <c r="G453" s="119"/>
    </row>
    <row r="454" spans="1:7" ht="13.5" customHeight="1">
      <c r="A454" s="122"/>
      <c r="B454" s="122"/>
      <c r="G454" s="119"/>
    </row>
    <row r="455" spans="1:7" ht="13.5" customHeight="1">
      <c r="A455" s="122"/>
      <c r="B455" s="122"/>
      <c r="G455" s="119"/>
    </row>
    <row r="456" spans="1:7" ht="13.5" customHeight="1">
      <c r="A456" s="122"/>
      <c r="B456" s="122"/>
      <c r="G456" s="119"/>
    </row>
    <row r="457" spans="1:7" ht="13.5" customHeight="1">
      <c r="A457" s="122"/>
      <c r="B457" s="122"/>
      <c r="G457" s="119"/>
    </row>
    <row r="458" spans="1:7" ht="13.5" customHeight="1">
      <c r="A458" s="122"/>
      <c r="B458" s="122"/>
      <c r="G458" s="119"/>
    </row>
    <row r="459" spans="1:7" ht="13.5" customHeight="1">
      <c r="A459" s="122"/>
      <c r="B459" s="122"/>
      <c r="G459" s="119"/>
    </row>
    <row r="460" spans="1:7" ht="13.5" customHeight="1">
      <c r="A460" s="122"/>
      <c r="B460" s="122"/>
      <c r="G460" s="119"/>
    </row>
    <row r="461" spans="1:7" ht="13.5" customHeight="1">
      <c r="A461" s="122"/>
      <c r="B461" s="122"/>
      <c r="G461" s="119"/>
    </row>
    <row r="462" spans="1:7" ht="13.5" customHeight="1">
      <c r="A462" s="122"/>
      <c r="B462" s="122"/>
      <c r="G462" s="119"/>
    </row>
    <row r="463" spans="1:7" ht="13.5" customHeight="1">
      <c r="A463" s="122"/>
      <c r="B463" s="122"/>
      <c r="G463" s="119"/>
    </row>
    <row r="464" spans="1:7" ht="13.5" customHeight="1">
      <c r="A464" s="122"/>
      <c r="B464" s="122"/>
      <c r="G464" s="119"/>
    </row>
    <row r="465" spans="1:7" ht="13.5" customHeight="1">
      <c r="A465" s="122"/>
      <c r="B465" s="122"/>
      <c r="G465" s="119"/>
    </row>
    <row r="466" spans="1:7" ht="13.5" customHeight="1">
      <c r="A466" s="122"/>
      <c r="B466" s="122"/>
      <c r="G466" s="119"/>
    </row>
    <row r="467" spans="1:7" ht="13.5" customHeight="1">
      <c r="A467" s="122"/>
      <c r="B467" s="122"/>
      <c r="G467" s="119"/>
    </row>
    <row r="468" spans="1:7" ht="13.5" customHeight="1">
      <c r="A468" s="122"/>
      <c r="B468" s="122"/>
      <c r="G468" s="119"/>
    </row>
    <row r="469" spans="1:7" ht="13.5" customHeight="1">
      <c r="A469" s="122"/>
      <c r="B469" s="122"/>
      <c r="G469" s="119"/>
    </row>
    <row r="470" spans="1:7" ht="13.5" customHeight="1">
      <c r="A470" s="122"/>
      <c r="B470" s="122"/>
      <c r="G470" s="119"/>
    </row>
    <row r="471" spans="1:7" ht="13.5" customHeight="1">
      <c r="A471" s="122"/>
      <c r="B471" s="122"/>
      <c r="G471" s="119"/>
    </row>
    <row r="472" spans="1:7" ht="13.5" customHeight="1">
      <c r="A472" s="122"/>
      <c r="B472" s="122"/>
      <c r="G472" s="119"/>
    </row>
    <row r="473" spans="1:7" ht="13.5" customHeight="1">
      <c r="A473" s="122"/>
      <c r="B473" s="122"/>
      <c r="G473" s="119"/>
    </row>
    <row r="474" spans="1:7" ht="13.5" customHeight="1">
      <c r="A474" s="122"/>
      <c r="B474" s="122"/>
      <c r="G474" s="119"/>
    </row>
    <row r="475" spans="1:7" ht="13.5" customHeight="1">
      <c r="A475" s="122"/>
      <c r="B475" s="122"/>
      <c r="G475" s="119"/>
    </row>
    <row r="476" spans="1:7" ht="13.5" customHeight="1">
      <c r="A476" s="122"/>
      <c r="B476" s="122"/>
      <c r="G476" s="119"/>
    </row>
    <row r="477" spans="1:7" ht="13.5" customHeight="1">
      <c r="A477" s="122"/>
      <c r="B477" s="122"/>
      <c r="G477" s="119"/>
    </row>
    <row r="478" spans="1:7" ht="13.5" customHeight="1">
      <c r="A478" s="122"/>
      <c r="B478" s="122"/>
      <c r="G478" s="119"/>
    </row>
    <row r="479" spans="1:7" ht="13.5" customHeight="1">
      <c r="A479" s="122"/>
      <c r="B479" s="122"/>
      <c r="G479" s="119"/>
    </row>
    <row r="480" spans="1:7" ht="13.5" customHeight="1">
      <c r="A480" s="122"/>
      <c r="B480" s="122"/>
      <c r="G480" s="119"/>
    </row>
    <row r="481" spans="1:7" ht="13.5" customHeight="1">
      <c r="A481" s="122"/>
      <c r="B481" s="122"/>
      <c r="G481" s="119"/>
    </row>
    <row r="482" spans="1:7" ht="13.5" customHeight="1">
      <c r="A482" s="122"/>
      <c r="B482" s="122"/>
      <c r="G482" s="119"/>
    </row>
    <row r="483" spans="1:7" ht="13.5" customHeight="1">
      <c r="A483" s="122"/>
      <c r="B483" s="122"/>
      <c r="G483" s="119"/>
    </row>
    <row r="484" spans="1:7" ht="13.5" customHeight="1">
      <c r="A484" s="122"/>
      <c r="B484" s="122"/>
      <c r="G484" s="119"/>
    </row>
    <row r="485" spans="1:7" ht="13.5" customHeight="1">
      <c r="A485" s="122"/>
      <c r="B485" s="122"/>
      <c r="G485" s="119"/>
    </row>
    <row r="486" spans="1:7" ht="13.5" customHeight="1">
      <c r="A486" s="122"/>
      <c r="B486" s="122"/>
      <c r="G486" s="119"/>
    </row>
    <row r="487" spans="1:7" ht="13.5" customHeight="1">
      <c r="A487" s="122"/>
      <c r="B487" s="122"/>
      <c r="G487" s="119"/>
    </row>
    <row r="488" spans="1:7" ht="13.5" customHeight="1">
      <c r="A488" s="122"/>
      <c r="B488" s="122"/>
      <c r="G488" s="119"/>
    </row>
    <row r="489" spans="1:7" ht="13.5" customHeight="1">
      <c r="A489" s="122"/>
      <c r="B489" s="122"/>
      <c r="G489" s="119"/>
    </row>
    <row r="490" spans="1:7" ht="13.5" customHeight="1">
      <c r="A490" s="122"/>
      <c r="B490" s="122"/>
      <c r="G490" s="119"/>
    </row>
    <row r="491" spans="1:7" ht="13.5" customHeight="1">
      <c r="A491" s="122"/>
      <c r="B491" s="122"/>
      <c r="G491" s="119"/>
    </row>
    <row r="492" spans="1:7" ht="13.5" customHeight="1">
      <c r="A492" s="122"/>
      <c r="B492" s="122"/>
      <c r="G492" s="119"/>
    </row>
    <row r="493" spans="1:7" ht="13.5" customHeight="1">
      <c r="A493" s="122"/>
      <c r="B493" s="122"/>
      <c r="G493" s="119"/>
    </row>
    <row r="494" spans="1:7" ht="13.5" customHeight="1">
      <c r="A494" s="122"/>
      <c r="B494" s="122"/>
      <c r="G494" s="119"/>
    </row>
    <row r="495" spans="1:7" ht="13.5" customHeight="1">
      <c r="A495" s="122"/>
      <c r="B495" s="122"/>
      <c r="G495" s="119"/>
    </row>
    <row r="496" spans="1:7" ht="13.5" customHeight="1">
      <c r="A496" s="122"/>
      <c r="B496" s="122"/>
      <c r="G496" s="119"/>
    </row>
    <row r="497" spans="1:7" ht="13.5" customHeight="1">
      <c r="A497" s="122"/>
      <c r="B497" s="122"/>
      <c r="G497" s="119"/>
    </row>
    <row r="498" spans="1:7" ht="13.5" customHeight="1">
      <c r="A498" s="122"/>
      <c r="B498" s="122"/>
      <c r="G498" s="119"/>
    </row>
    <row r="499" spans="1:7" ht="13.5" customHeight="1">
      <c r="A499" s="122"/>
      <c r="B499" s="122"/>
      <c r="G499" s="119"/>
    </row>
    <row r="500" spans="1:7" ht="13.5" customHeight="1">
      <c r="A500" s="122"/>
      <c r="B500" s="122"/>
      <c r="G500" s="119"/>
    </row>
    <row r="501" spans="1:7" ht="13.5" customHeight="1">
      <c r="A501" s="122"/>
      <c r="B501" s="122"/>
      <c r="G501" s="119"/>
    </row>
    <row r="502" spans="1:7" ht="13.5" customHeight="1">
      <c r="A502" s="122"/>
      <c r="B502" s="122"/>
      <c r="G502" s="119"/>
    </row>
    <row r="503" spans="1:7" ht="13.5" customHeight="1">
      <c r="A503" s="122"/>
      <c r="B503" s="122"/>
      <c r="G503" s="119"/>
    </row>
    <row r="504" spans="1:7" ht="13.5" customHeight="1">
      <c r="A504" s="122"/>
      <c r="B504" s="122"/>
      <c r="G504" s="119"/>
    </row>
    <row r="505" spans="1:7" ht="13.5" customHeight="1">
      <c r="A505" s="122"/>
      <c r="B505" s="122"/>
      <c r="G505" s="119"/>
    </row>
    <row r="506" spans="1:7" ht="13.5" customHeight="1">
      <c r="A506" s="122"/>
      <c r="B506" s="122"/>
      <c r="G506" s="119"/>
    </row>
    <row r="507" spans="1:7" ht="13.5" customHeight="1">
      <c r="A507" s="122"/>
      <c r="B507" s="122"/>
      <c r="G507" s="119"/>
    </row>
    <row r="508" spans="1:7" ht="13.5" customHeight="1">
      <c r="A508" s="122"/>
      <c r="B508" s="122"/>
      <c r="G508" s="119"/>
    </row>
    <row r="509" spans="1:7" ht="13.5" customHeight="1">
      <c r="A509" s="122"/>
      <c r="B509" s="122"/>
      <c r="G509" s="119"/>
    </row>
    <row r="510" spans="1:7" ht="13.5" customHeight="1">
      <c r="A510" s="122"/>
      <c r="B510" s="122"/>
      <c r="G510" s="119"/>
    </row>
    <row r="511" spans="1:7" ht="13.5" customHeight="1">
      <c r="A511" s="122"/>
      <c r="B511" s="122"/>
      <c r="G511" s="119"/>
    </row>
    <row r="512" spans="1:7" ht="13.5" customHeight="1">
      <c r="A512" s="122"/>
      <c r="B512" s="122"/>
      <c r="G512" s="119"/>
    </row>
    <row r="513" spans="1:7" ht="13.5" customHeight="1">
      <c r="A513" s="122"/>
      <c r="B513" s="122"/>
      <c r="G513" s="119"/>
    </row>
    <row r="514" spans="1:7" ht="13.5" customHeight="1">
      <c r="A514" s="122"/>
      <c r="B514" s="122"/>
      <c r="G514" s="119"/>
    </row>
    <row r="515" spans="1:7" ht="13.5" customHeight="1">
      <c r="A515" s="122"/>
      <c r="B515" s="122"/>
      <c r="G515" s="119"/>
    </row>
    <row r="516" spans="1:7" ht="13.5" customHeight="1">
      <c r="A516" s="122"/>
      <c r="B516" s="122"/>
      <c r="G516" s="119"/>
    </row>
    <row r="517" spans="1:7" ht="13.5" customHeight="1">
      <c r="A517" s="122"/>
      <c r="B517" s="122"/>
      <c r="G517" s="119"/>
    </row>
    <row r="518" spans="1:7" ht="13.5" customHeight="1">
      <c r="A518" s="122"/>
      <c r="B518" s="122"/>
      <c r="G518" s="119"/>
    </row>
    <row r="519" spans="1:7" ht="13.5" customHeight="1">
      <c r="A519" s="122"/>
      <c r="B519" s="122"/>
      <c r="G519" s="119"/>
    </row>
    <row r="520" spans="1:7" ht="13.5" customHeight="1">
      <c r="A520" s="122"/>
      <c r="B520" s="122"/>
      <c r="G520" s="119"/>
    </row>
    <row r="521" spans="1:7" ht="13.5" customHeight="1">
      <c r="A521" s="122"/>
      <c r="B521" s="122"/>
      <c r="G521" s="119"/>
    </row>
    <row r="522" spans="1:7" ht="13.5" customHeight="1">
      <c r="A522" s="122"/>
      <c r="B522" s="122"/>
      <c r="G522" s="119"/>
    </row>
    <row r="523" spans="1:7" ht="13.5" customHeight="1">
      <c r="A523" s="122"/>
      <c r="B523" s="122"/>
      <c r="G523" s="119"/>
    </row>
    <row r="524" spans="1:7" ht="13.5" customHeight="1">
      <c r="A524" s="122"/>
      <c r="B524" s="122"/>
      <c r="G524" s="119"/>
    </row>
    <row r="525" spans="1:7" ht="13.5" customHeight="1">
      <c r="A525" s="122"/>
      <c r="B525" s="122"/>
      <c r="G525" s="119"/>
    </row>
    <row r="526" spans="1:7" ht="13.5" customHeight="1">
      <c r="A526" s="122"/>
      <c r="B526" s="122"/>
      <c r="G526" s="119"/>
    </row>
    <row r="527" spans="1:7" ht="13.5" customHeight="1">
      <c r="A527" s="122"/>
      <c r="B527" s="122"/>
      <c r="G527" s="119"/>
    </row>
    <row r="528" spans="1:7" ht="13.5" customHeight="1">
      <c r="A528" s="122"/>
      <c r="B528" s="122"/>
      <c r="G528" s="119"/>
    </row>
    <row r="529" spans="1:7" ht="13.5" customHeight="1">
      <c r="A529" s="122"/>
      <c r="B529" s="122"/>
      <c r="G529" s="119"/>
    </row>
    <row r="530" spans="1:7" ht="13.5" customHeight="1">
      <c r="A530" s="122"/>
      <c r="B530" s="122"/>
      <c r="G530" s="119"/>
    </row>
    <row r="531" spans="1:7" ht="13.5" customHeight="1">
      <c r="A531" s="122"/>
      <c r="B531" s="122"/>
      <c r="G531" s="119"/>
    </row>
    <row r="532" spans="1:7" ht="13.5" customHeight="1">
      <c r="A532" s="122"/>
      <c r="B532" s="122"/>
      <c r="G532" s="119"/>
    </row>
    <row r="533" spans="1:7" ht="13.5" customHeight="1">
      <c r="A533" s="122"/>
      <c r="B533" s="122"/>
      <c r="G533" s="119"/>
    </row>
    <row r="534" spans="1:7" ht="13.5" customHeight="1">
      <c r="A534" s="122"/>
      <c r="B534" s="122"/>
      <c r="G534" s="119"/>
    </row>
    <row r="535" spans="1:7" ht="13.5" customHeight="1">
      <c r="A535" s="122"/>
      <c r="B535" s="122"/>
      <c r="G535" s="119"/>
    </row>
    <row r="536" spans="1:7" ht="13.5" customHeight="1">
      <c r="A536" s="122"/>
      <c r="B536" s="122"/>
      <c r="G536" s="119"/>
    </row>
    <row r="537" spans="1:7" ht="13.5" customHeight="1">
      <c r="A537" s="122"/>
      <c r="B537" s="122"/>
      <c r="G537" s="119"/>
    </row>
    <row r="538" spans="1:7" ht="13.5" customHeight="1">
      <c r="A538" s="122"/>
      <c r="B538" s="122"/>
      <c r="G538" s="119"/>
    </row>
    <row r="539" spans="1:7" ht="13.5" customHeight="1">
      <c r="A539" s="122"/>
      <c r="B539" s="122"/>
      <c r="G539" s="119"/>
    </row>
    <row r="540" spans="1:7" ht="13.5" customHeight="1">
      <c r="A540" s="122"/>
      <c r="B540" s="122"/>
      <c r="G540" s="119"/>
    </row>
    <row r="541" spans="1:7" ht="13.5" customHeight="1">
      <c r="A541" s="122"/>
      <c r="B541" s="122"/>
      <c r="G541" s="119"/>
    </row>
    <row r="542" spans="1:7" ht="13.5" customHeight="1">
      <c r="A542" s="122"/>
      <c r="B542" s="122"/>
      <c r="G542" s="119"/>
    </row>
    <row r="543" spans="1:7" ht="13.5" customHeight="1">
      <c r="A543" s="122"/>
      <c r="B543" s="122"/>
      <c r="G543" s="119"/>
    </row>
    <row r="544" spans="1:7" ht="13.5" customHeight="1">
      <c r="A544" s="122"/>
      <c r="B544" s="122"/>
      <c r="G544" s="119"/>
    </row>
    <row r="545" spans="1:7" ht="13.5" customHeight="1">
      <c r="A545" s="122"/>
      <c r="B545" s="122"/>
      <c r="G545" s="119"/>
    </row>
    <row r="546" spans="1:7" ht="13.5" customHeight="1">
      <c r="A546" s="122"/>
      <c r="B546" s="122"/>
      <c r="G546" s="119"/>
    </row>
    <row r="547" spans="1:7" ht="13.5" customHeight="1">
      <c r="A547" s="122"/>
      <c r="B547" s="122"/>
      <c r="G547" s="119"/>
    </row>
    <row r="548" spans="1:7" ht="13.5" customHeight="1">
      <c r="A548" s="122"/>
      <c r="B548" s="122"/>
      <c r="G548" s="119"/>
    </row>
    <row r="549" spans="1:7" ht="13.5" customHeight="1">
      <c r="A549" s="122"/>
      <c r="B549" s="122"/>
      <c r="G549" s="119"/>
    </row>
    <row r="550" spans="1:7" ht="13.5" customHeight="1">
      <c r="A550" s="122"/>
      <c r="B550" s="122"/>
      <c r="G550" s="119"/>
    </row>
    <row r="551" spans="1:7" ht="13.5" customHeight="1">
      <c r="A551" s="122"/>
      <c r="B551" s="122"/>
      <c r="G551" s="119"/>
    </row>
    <row r="552" spans="1:7" ht="13.5" customHeight="1">
      <c r="A552" s="122"/>
      <c r="B552" s="122"/>
      <c r="G552" s="119"/>
    </row>
    <row r="553" spans="1:7" ht="13.5" customHeight="1">
      <c r="A553" s="122"/>
      <c r="B553" s="122"/>
      <c r="G553" s="119"/>
    </row>
    <row r="554" spans="1:7" ht="13.5" customHeight="1">
      <c r="A554" s="122"/>
      <c r="B554" s="122"/>
      <c r="G554" s="119"/>
    </row>
    <row r="555" spans="1:7" ht="13.5" customHeight="1">
      <c r="A555" s="122"/>
      <c r="B555" s="122"/>
      <c r="G555" s="119"/>
    </row>
    <row r="556" spans="1:7" ht="13.5" customHeight="1">
      <c r="A556" s="122"/>
      <c r="B556" s="122"/>
      <c r="G556" s="119"/>
    </row>
    <row r="557" spans="1:7" ht="13.5" customHeight="1">
      <c r="A557" s="122"/>
      <c r="B557" s="122"/>
      <c r="G557" s="119"/>
    </row>
    <row r="558" spans="1:7" ht="13.5" customHeight="1">
      <c r="A558" s="122"/>
      <c r="B558" s="122"/>
      <c r="G558" s="119"/>
    </row>
    <row r="559" spans="1:7" ht="13.5" customHeight="1">
      <c r="A559" s="122"/>
      <c r="B559" s="122"/>
      <c r="G559" s="119"/>
    </row>
    <row r="560" spans="1:7" ht="13.5" customHeight="1">
      <c r="A560" s="122"/>
      <c r="B560" s="122"/>
      <c r="G560" s="119"/>
    </row>
    <row r="561" spans="1:7" ht="13.5" customHeight="1">
      <c r="A561" s="122"/>
      <c r="B561" s="122"/>
      <c r="G561" s="119"/>
    </row>
    <row r="562" spans="1:7" ht="13.5" customHeight="1">
      <c r="A562" s="122"/>
      <c r="B562" s="122"/>
      <c r="G562" s="119"/>
    </row>
    <row r="563" spans="1:7" ht="13.5" customHeight="1">
      <c r="A563" s="122"/>
      <c r="B563" s="122"/>
      <c r="G563" s="119"/>
    </row>
    <row r="564" spans="1:7" ht="13.5" customHeight="1">
      <c r="A564" s="122"/>
      <c r="B564" s="122"/>
      <c r="G564" s="119"/>
    </row>
    <row r="565" spans="1:7" ht="13.5" customHeight="1">
      <c r="A565" s="122"/>
      <c r="B565" s="122"/>
      <c r="G565" s="119"/>
    </row>
    <row r="566" spans="1:7" ht="13.5" customHeight="1">
      <c r="A566" s="122"/>
      <c r="B566" s="122"/>
      <c r="G566" s="119"/>
    </row>
    <row r="567" spans="1:7" ht="13.5" customHeight="1">
      <c r="A567" s="122"/>
      <c r="B567" s="122"/>
      <c r="G567" s="119"/>
    </row>
    <row r="568" spans="1:7" ht="13.5" customHeight="1">
      <c r="A568" s="122"/>
      <c r="B568" s="122"/>
      <c r="G568" s="119"/>
    </row>
    <row r="569" spans="1:7" ht="13.5" customHeight="1">
      <c r="A569" s="122"/>
      <c r="B569" s="122"/>
      <c r="G569" s="119"/>
    </row>
    <row r="570" spans="1:7" ht="13.5" customHeight="1">
      <c r="A570" s="122"/>
      <c r="B570" s="122"/>
      <c r="G570" s="119"/>
    </row>
    <row r="571" spans="1:7" ht="13.5" customHeight="1">
      <c r="A571" s="122"/>
      <c r="B571" s="122"/>
      <c r="G571" s="119"/>
    </row>
    <row r="572" spans="1:7" ht="13.5" customHeight="1">
      <c r="A572" s="122"/>
      <c r="B572" s="122"/>
      <c r="G572" s="119"/>
    </row>
    <row r="573" spans="1:7" ht="13.5" customHeight="1">
      <c r="A573" s="122"/>
      <c r="B573" s="122"/>
      <c r="G573" s="119"/>
    </row>
    <row r="574" spans="1:7" ht="13.5" customHeight="1">
      <c r="A574" s="122"/>
      <c r="B574" s="122"/>
      <c r="G574" s="119"/>
    </row>
    <row r="575" spans="1:7" ht="13.5" customHeight="1">
      <c r="A575" s="122"/>
      <c r="B575" s="122"/>
      <c r="G575" s="119"/>
    </row>
    <row r="576" spans="1:7" ht="13.5" customHeight="1">
      <c r="A576" s="122"/>
      <c r="B576" s="122"/>
      <c r="G576" s="119"/>
    </row>
    <row r="577" spans="1:7" ht="13.5" customHeight="1">
      <c r="A577" s="122"/>
      <c r="B577" s="122"/>
      <c r="G577" s="119"/>
    </row>
    <row r="578" spans="1:7" ht="13.5" customHeight="1">
      <c r="A578" s="122"/>
      <c r="B578" s="122"/>
      <c r="G578" s="119"/>
    </row>
    <row r="579" spans="1:7" ht="13.5" customHeight="1">
      <c r="A579" s="122"/>
      <c r="B579" s="122"/>
      <c r="G579" s="119"/>
    </row>
    <row r="580" spans="1:7" ht="13.5" customHeight="1">
      <c r="A580" s="122"/>
      <c r="B580" s="122"/>
      <c r="G580" s="119"/>
    </row>
    <row r="581" spans="1:7" ht="13.5" customHeight="1">
      <c r="A581" s="122"/>
      <c r="B581" s="122"/>
      <c r="G581" s="119"/>
    </row>
    <row r="582" spans="1:7" ht="13.5" customHeight="1">
      <c r="A582" s="122"/>
      <c r="B582" s="122"/>
      <c r="G582" s="119"/>
    </row>
    <row r="583" spans="1:7" ht="13.5" customHeight="1">
      <c r="A583" s="122"/>
      <c r="B583" s="122"/>
      <c r="G583" s="119"/>
    </row>
    <row r="584" spans="1:7" ht="13.5" customHeight="1">
      <c r="A584" s="122"/>
      <c r="B584" s="122"/>
      <c r="G584" s="119"/>
    </row>
    <row r="585" spans="1:7" ht="13.5" customHeight="1">
      <c r="A585" s="122"/>
      <c r="B585" s="122"/>
      <c r="G585" s="119"/>
    </row>
    <row r="586" spans="1:7" ht="13.5" customHeight="1">
      <c r="A586" s="122"/>
      <c r="B586" s="122"/>
      <c r="G586" s="119"/>
    </row>
    <row r="587" spans="1:7" ht="13.5" customHeight="1">
      <c r="A587" s="122"/>
      <c r="B587" s="122"/>
      <c r="G587" s="119"/>
    </row>
    <row r="588" spans="1:7" ht="13.5" customHeight="1">
      <c r="A588" s="122"/>
      <c r="B588" s="122"/>
      <c r="G588" s="119"/>
    </row>
    <row r="589" spans="1:7" ht="13.5" customHeight="1">
      <c r="A589" s="122"/>
      <c r="B589" s="122"/>
      <c r="G589" s="119"/>
    </row>
    <row r="590" spans="1:7" ht="13.5" customHeight="1">
      <c r="A590" s="122"/>
      <c r="B590" s="122"/>
      <c r="G590" s="119"/>
    </row>
    <row r="591" spans="1:7" ht="13.5" customHeight="1">
      <c r="A591" s="122"/>
      <c r="B591" s="122"/>
      <c r="G591" s="119"/>
    </row>
    <row r="592" spans="1:7" ht="13.5" customHeight="1">
      <c r="A592" s="122"/>
      <c r="B592" s="122"/>
      <c r="G592" s="119"/>
    </row>
    <row r="593" spans="1:7" ht="13.5" customHeight="1">
      <c r="A593" s="122"/>
      <c r="B593" s="122"/>
      <c r="G593" s="119"/>
    </row>
    <row r="594" spans="1:7" ht="13.5" customHeight="1">
      <c r="A594" s="122"/>
      <c r="B594" s="122"/>
      <c r="G594" s="119"/>
    </row>
    <row r="595" spans="1:7" ht="13.5" customHeight="1">
      <c r="A595" s="122"/>
      <c r="B595" s="122"/>
      <c r="G595" s="119"/>
    </row>
    <row r="596" spans="1:7" ht="13.5" customHeight="1">
      <c r="A596" s="122"/>
      <c r="B596" s="122"/>
      <c r="G596" s="119"/>
    </row>
    <row r="597" spans="1:7" ht="13.5" customHeight="1">
      <c r="A597" s="122"/>
      <c r="B597" s="122"/>
      <c r="G597" s="119"/>
    </row>
    <row r="598" spans="1:7" ht="13.5" customHeight="1">
      <c r="A598" s="122"/>
      <c r="B598" s="122"/>
      <c r="G598" s="119"/>
    </row>
    <row r="599" spans="1:7" ht="13.5" customHeight="1">
      <c r="A599" s="122"/>
      <c r="B599" s="122"/>
      <c r="G599" s="119"/>
    </row>
    <row r="600" spans="1:7" ht="13.5" customHeight="1">
      <c r="A600" s="122"/>
      <c r="B600" s="122"/>
      <c r="G600" s="119"/>
    </row>
    <row r="601" spans="1:7" ht="13.5" customHeight="1">
      <c r="A601" s="122"/>
      <c r="B601" s="122"/>
      <c r="G601" s="119"/>
    </row>
    <row r="602" spans="1:7" ht="13.5" customHeight="1">
      <c r="A602" s="122"/>
      <c r="B602" s="122"/>
      <c r="G602" s="119"/>
    </row>
    <row r="603" spans="1:7" ht="13.5" customHeight="1">
      <c r="A603" s="122"/>
      <c r="B603" s="122"/>
      <c r="G603" s="119"/>
    </row>
    <row r="604" spans="1:7" ht="13.5" customHeight="1">
      <c r="A604" s="122"/>
      <c r="B604" s="122"/>
      <c r="G604" s="119"/>
    </row>
    <row r="605" spans="1:7" ht="13.5" customHeight="1">
      <c r="A605" s="122"/>
      <c r="B605" s="122"/>
      <c r="G605" s="119"/>
    </row>
    <row r="606" spans="1:7" ht="13.5" customHeight="1">
      <c r="A606" s="122"/>
      <c r="B606" s="122"/>
      <c r="G606" s="119"/>
    </row>
    <row r="607" spans="1:7" ht="13.5" customHeight="1">
      <c r="A607" s="122"/>
      <c r="B607" s="122"/>
      <c r="G607" s="119"/>
    </row>
    <row r="608" spans="1:7" ht="13.5" customHeight="1">
      <c r="A608" s="122"/>
      <c r="B608" s="122"/>
      <c r="G608" s="119"/>
    </row>
    <row r="609" spans="1:7" ht="13.5" customHeight="1">
      <c r="A609" s="122"/>
      <c r="B609" s="122"/>
      <c r="G609" s="119"/>
    </row>
    <row r="610" spans="1:7" ht="13.5" customHeight="1">
      <c r="A610" s="122"/>
      <c r="B610" s="122"/>
      <c r="G610" s="119"/>
    </row>
    <row r="611" spans="1:7" ht="13.5" customHeight="1">
      <c r="A611" s="122"/>
      <c r="B611" s="122"/>
      <c r="G611" s="119"/>
    </row>
    <row r="612" spans="1:7" ht="13.5" customHeight="1">
      <c r="A612" s="122"/>
      <c r="B612" s="122"/>
      <c r="G612" s="119"/>
    </row>
    <row r="613" spans="1:7" ht="13.5" customHeight="1">
      <c r="A613" s="122"/>
      <c r="B613" s="122"/>
      <c r="G613" s="119"/>
    </row>
    <row r="614" spans="1:7" ht="13.5" customHeight="1">
      <c r="A614" s="122"/>
      <c r="B614" s="122"/>
      <c r="G614" s="119"/>
    </row>
    <row r="615" spans="1:7" ht="13.5" customHeight="1">
      <c r="A615" s="122"/>
      <c r="B615" s="122"/>
      <c r="G615" s="119"/>
    </row>
    <row r="616" spans="1:7" ht="13.5" customHeight="1">
      <c r="A616" s="122"/>
      <c r="B616" s="122"/>
      <c r="G616" s="119"/>
    </row>
    <row r="617" spans="1:7" ht="13.5" customHeight="1">
      <c r="A617" s="122"/>
      <c r="B617" s="122"/>
      <c r="G617" s="119"/>
    </row>
    <row r="618" spans="1:7" ht="13.5" customHeight="1">
      <c r="A618" s="122"/>
      <c r="B618" s="122"/>
      <c r="G618" s="119"/>
    </row>
    <row r="619" spans="1:7" ht="13.5" customHeight="1">
      <c r="A619" s="122"/>
      <c r="B619" s="122"/>
      <c r="G619" s="119"/>
    </row>
    <row r="620" spans="1:7" ht="13.5" customHeight="1">
      <c r="A620" s="122"/>
      <c r="B620" s="122"/>
      <c r="G620" s="119"/>
    </row>
    <row r="621" spans="1:7" ht="13.5" customHeight="1">
      <c r="A621" s="122"/>
      <c r="B621" s="122"/>
      <c r="G621" s="119"/>
    </row>
    <row r="622" spans="1:7" ht="13.5" customHeight="1">
      <c r="A622" s="122"/>
      <c r="B622" s="122"/>
      <c r="G622" s="119"/>
    </row>
    <row r="623" spans="1:7" ht="13.5" customHeight="1">
      <c r="A623" s="122"/>
      <c r="B623" s="122"/>
      <c r="G623" s="119"/>
    </row>
    <row r="624" spans="1:7" ht="13.5" customHeight="1">
      <c r="A624" s="122"/>
      <c r="B624" s="122"/>
      <c r="G624" s="119"/>
    </row>
    <row r="625" spans="1:7" ht="13.5" customHeight="1">
      <c r="A625" s="122"/>
      <c r="B625" s="122"/>
      <c r="G625" s="119"/>
    </row>
    <row r="626" spans="1:7" ht="13.5" customHeight="1">
      <c r="A626" s="122"/>
      <c r="B626" s="122"/>
      <c r="G626" s="119"/>
    </row>
    <row r="627" spans="1:7" ht="13.5" customHeight="1">
      <c r="A627" s="122"/>
      <c r="B627" s="122"/>
      <c r="G627" s="119"/>
    </row>
    <row r="628" spans="1:7" ht="13.5" customHeight="1">
      <c r="A628" s="122"/>
      <c r="B628" s="122"/>
      <c r="G628" s="119"/>
    </row>
    <row r="629" spans="1:7" ht="13.5" customHeight="1">
      <c r="A629" s="122"/>
      <c r="B629" s="122"/>
      <c r="G629" s="119"/>
    </row>
    <row r="630" spans="1:7" ht="13.5" customHeight="1">
      <c r="A630" s="122"/>
      <c r="B630" s="122"/>
      <c r="G630" s="119"/>
    </row>
    <row r="631" spans="1:7" ht="13.5" customHeight="1">
      <c r="A631" s="122"/>
      <c r="B631" s="122"/>
      <c r="G631" s="119"/>
    </row>
    <row r="632" spans="1:7" ht="13.5" customHeight="1">
      <c r="A632" s="122"/>
      <c r="B632" s="122"/>
      <c r="G632" s="119"/>
    </row>
    <row r="633" spans="1:7" ht="13.5" customHeight="1">
      <c r="A633" s="122"/>
      <c r="B633" s="122"/>
      <c r="G633" s="119"/>
    </row>
    <row r="634" spans="1:7" ht="13.5" customHeight="1">
      <c r="A634" s="122"/>
      <c r="B634" s="122"/>
      <c r="G634" s="119"/>
    </row>
    <row r="635" spans="1:7" ht="13.5" customHeight="1">
      <c r="A635" s="122"/>
      <c r="B635" s="122"/>
      <c r="G635" s="119"/>
    </row>
    <row r="636" spans="1:7" ht="13.5" customHeight="1">
      <c r="A636" s="122"/>
      <c r="B636" s="122"/>
      <c r="G636" s="119"/>
    </row>
    <row r="637" spans="1:7" ht="13.5" customHeight="1">
      <c r="A637" s="122"/>
      <c r="B637" s="122"/>
      <c r="G637" s="119"/>
    </row>
    <row r="638" spans="1:7" ht="13.5" customHeight="1">
      <c r="A638" s="122"/>
      <c r="B638" s="122"/>
      <c r="G638" s="119"/>
    </row>
    <row r="639" spans="1:7" ht="13.5" customHeight="1">
      <c r="A639" s="122"/>
      <c r="B639" s="122"/>
      <c r="G639" s="119"/>
    </row>
    <row r="640" spans="1:7" ht="13.5" customHeight="1">
      <c r="A640" s="122"/>
      <c r="B640" s="122"/>
      <c r="G640" s="119"/>
    </row>
    <row r="641" spans="1:7" ht="13.5" customHeight="1">
      <c r="A641" s="122"/>
      <c r="B641" s="122"/>
      <c r="G641" s="119"/>
    </row>
    <row r="642" spans="1:7" ht="13.5" customHeight="1">
      <c r="A642" s="122"/>
      <c r="B642" s="122"/>
      <c r="G642" s="119"/>
    </row>
    <row r="643" spans="1:7" ht="13.5" customHeight="1">
      <c r="A643" s="122"/>
      <c r="B643" s="122"/>
      <c r="G643" s="119"/>
    </row>
    <row r="644" spans="1:7" ht="13.5" customHeight="1">
      <c r="A644" s="122"/>
      <c r="B644" s="122"/>
      <c r="G644" s="119"/>
    </row>
    <row r="645" spans="1:7" ht="13.5" customHeight="1">
      <c r="A645" s="122"/>
      <c r="B645" s="122"/>
      <c r="G645" s="119"/>
    </row>
    <row r="646" spans="1:7" ht="13.5" customHeight="1">
      <c r="A646" s="122"/>
      <c r="B646" s="122"/>
      <c r="G646" s="119"/>
    </row>
    <row r="647" spans="1:7" ht="13.5" customHeight="1">
      <c r="A647" s="122"/>
      <c r="B647" s="122"/>
      <c r="G647" s="119"/>
    </row>
    <row r="648" spans="1:7" ht="13.5" customHeight="1">
      <c r="A648" s="122"/>
      <c r="B648" s="122"/>
      <c r="G648" s="119"/>
    </row>
    <row r="649" spans="1:7" ht="13.5" customHeight="1">
      <c r="A649" s="122"/>
      <c r="B649" s="122"/>
      <c r="G649" s="119"/>
    </row>
    <row r="650" spans="1:7" ht="13.5" customHeight="1">
      <c r="A650" s="122"/>
      <c r="B650" s="122"/>
      <c r="G650" s="119"/>
    </row>
    <row r="651" spans="1:7" ht="13.5" customHeight="1">
      <c r="A651" s="122"/>
      <c r="B651" s="122"/>
      <c r="G651" s="119"/>
    </row>
    <row r="652" spans="1:7" ht="13.5" customHeight="1">
      <c r="A652" s="122"/>
      <c r="B652" s="122"/>
      <c r="G652" s="119"/>
    </row>
    <row r="653" spans="1:7" ht="13.5" customHeight="1">
      <c r="A653" s="122"/>
      <c r="B653" s="122"/>
      <c r="G653" s="119"/>
    </row>
    <row r="654" spans="1:7" ht="13.5" customHeight="1">
      <c r="A654" s="122"/>
      <c r="B654" s="122"/>
      <c r="G654" s="119"/>
    </row>
    <row r="655" spans="1:7" ht="13.5" customHeight="1">
      <c r="A655" s="122"/>
      <c r="B655" s="122"/>
      <c r="G655" s="119"/>
    </row>
    <row r="656" spans="1:7" ht="13.5" customHeight="1">
      <c r="A656" s="122"/>
      <c r="B656" s="122"/>
      <c r="G656" s="119"/>
    </row>
    <row r="657" spans="1:7" ht="13.5" customHeight="1">
      <c r="A657" s="122"/>
      <c r="B657" s="122"/>
      <c r="G657" s="119"/>
    </row>
    <row r="658" spans="1:7" ht="13.5" customHeight="1">
      <c r="A658" s="122"/>
      <c r="B658" s="122"/>
      <c r="G658" s="119"/>
    </row>
    <row r="659" spans="1:7" ht="13.5" customHeight="1">
      <c r="A659" s="122"/>
      <c r="B659" s="122"/>
      <c r="G659" s="119"/>
    </row>
    <row r="660" spans="1:7" ht="13.5" customHeight="1">
      <c r="A660" s="122"/>
      <c r="B660" s="122"/>
      <c r="G660" s="119"/>
    </row>
    <row r="661" spans="1:7" ht="13.5" customHeight="1">
      <c r="A661" s="122"/>
      <c r="B661" s="122"/>
      <c r="G661" s="119"/>
    </row>
    <row r="662" spans="1:7" ht="13.5" customHeight="1">
      <c r="A662" s="122"/>
      <c r="B662" s="122"/>
      <c r="G662" s="119"/>
    </row>
    <row r="663" spans="1:7" ht="13.5" customHeight="1">
      <c r="A663" s="122"/>
      <c r="B663" s="122"/>
      <c r="G663" s="119"/>
    </row>
    <row r="664" spans="1:7" ht="13.5" customHeight="1">
      <c r="A664" s="122"/>
      <c r="B664" s="122"/>
      <c r="G664" s="119"/>
    </row>
    <row r="665" spans="1:7" ht="13.5" customHeight="1">
      <c r="A665" s="122"/>
      <c r="B665" s="122"/>
      <c r="G665" s="119"/>
    </row>
    <row r="666" spans="1:7" ht="13.5" customHeight="1">
      <c r="A666" s="122"/>
      <c r="B666" s="122"/>
      <c r="G666" s="119"/>
    </row>
    <row r="667" spans="1:7" ht="13.5" customHeight="1">
      <c r="A667" s="122"/>
      <c r="B667" s="122"/>
      <c r="G667" s="119"/>
    </row>
    <row r="668" spans="1:7" ht="13.5" customHeight="1">
      <c r="A668" s="122"/>
      <c r="B668" s="122"/>
      <c r="G668" s="119"/>
    </row>
    <row r="669" spans="1:7" ht="13.5" customHeight="1">
      <c r="A669" s="122"/>
      <c r="B669" s="122"/>
      <c r="G669" s="119"/>
    </row>
    <row r="670" spans="1:7" ht="13.5" customHeight="1">
      <c r="A670" s="122"/>
      <c r="B670" s="122"/>
      <c r="G670" s="119"/>
    </row>
    <row r="671" spans="1:7" ht="13.5" customHeight="1">
      <c r="A671" s="122"/>
      <c r="B671" s="122"/>
      <c r="G671" s="119"/>
    </row>
    <row r="672" spans="1:7" ht="13.5" customHeight="1">
      <c r="A672" s="122"/>
      <c r="B672" s="122"/>
      <c r="G672" s="119"/>
    </row>
    <row r="673" spans="1:7" ht="13.5" customHeight="1">
      <c r="A673" s="122"/>
      <c r="B673" s="122"/>
      <c r="G673" s="119"/>
    </row>
    <row r="674" spans="1:7" ht="13.5" customHeight="1">
      <c r="A674" s="122"/>
      <c r="B674" s="122"/>
      <c r="G674" s="119"/>
    </row>
    <row r="675" spans="1:7" ht="13.5" customHeight="1">
      <c r="A675" s="122"/>
      <c r="B675" s="122"/>
      <c r="G675" s="119"/>
    </row>
    <row r="676" spans="1:7" ht="13.5" customHeight="1">
      <c r="A676" s="122"/>
      <c r="B676" s="122"/>
      <c r="G676" s="119"/>
    </row>
    <row r="677" spans="1:7" ht="13.5" customHeight="1">
      <c r="A677" s="122"/>
      <c r="B677" s="122"/>
      <c r="G677" s="119"/>
    </row>
    <row r="678" spans="1:7" ht="13.5" customHeight="1">
      <c r="A678" s="122"/>
      <c r="B678" s="122"/>
      <c r="G678" s="119"/>
    </row>
    <row r="679" spans="1:7" ht="13.5" customHeight="1">
      <c r="A679" s="122"/>
      <c r="B679" s="122"/>
      <c r="G679" s="119"/>
    </row>
    <row r="680" spans="1:7" ht="13.5" customHeight="1">
      <c r="A680" s="122"/>
      <c r="B680" s="122"/>
      <c r="G680" s="119"/>
    </row>
    <row r="681" spans="1:7" ht="13.5" customHeight="1">
      <c r="A681" s="122"/>
      <c r="B681" s="122"/>
      <c r="G681" s="119"/>
    </row>
    <row r="682" spans="1:7" ht="13.5" customHeight="1">
      <c r="A682" s="122"/>
      <c r="B682" s="122"/>
      <c r="G682" s="119"/>
    </row>
    <row r="683" spans="1:7" ht="13.5" customHeight="1">
      <c r="A683" s="122"/>
      <c r="B683" s="122"/>
      <c r="G683" s="119"/>
    </row>
    <row r="684" spans="1:7" ht="13.5" customHeight="1">
      <c r="A684" s="122"/>
      <c r="B684" s="122"/>
      <c r="G684" s="119"/>
    </row>
    <row r="685" spans="1:7" ht="13.5" customHeight="1">
      <c r="A685" s="122"/>
      <c r="B685" s="122"/>
      <c r="G685" s="119"/>
    </row>
    <row r="686" spans="1:7" ht="13.5" customHeight="1">
      <c r="A686" s="122"/>
      <c r="B686" s="122"/>
      <c r="G686" s="119"/>
    </row>
    <row r="687" spans="1:7" ht="13.5" customHeight="1">
      <c r="A687" s="122"/>
      <c r="B687" s="122"/>
      <c r="G687" s="119"/>
    </row>
    <row r="688" spans="1:7" ht="13.5" customHeight="1">
      <c r="A688" s="122"/>
      <c r="B688" s="122"/>
      <c r="G688" s="119"/>
    </row>
    <row r="689" spans="1:7" ht="13.5" customHeight="1">
      <c r="A689" s="122"/>
      <c r="B689" s="122"/>
      <c r="G689" s="119"/>
    </row>
    <row r="690" spans="1:7" ht="13.5" customHeight="1">
      <c r="A690" s="122"/>
      <c r="B690" s="122"/>
      <c r="G690" s="119"/>
    </row>
    <row r="691" spans="1:7" ht="13.5" customHeight="1">
      <c r="A691" s="122"/>
      <c r="B691" s="122"/>
      <c r="G691" s="119"/>
    </row>
    <row r="692" spans="1:7" ht="13.5" customHeight="1">
      <c r="A692" s="122"/>
      <c r="B692" s="122"/>
      <c r="G692" s="119"/>
    </row>
    <row r="693" spans="1:7" ht="13.5" customHeight="1">
      <c r="A693" s="122"/>
      <c r="B693" s="122"/>
      <c r="G693" s="119"/>
    </row>
    <row r="694" spans="1:7" ht="13.5" customHeight="1">
      <c r="A694" s="122"/>
      <c r="B694" s="122"/>
      <c r="G694" s="119"/>
    </row>
    <row r="695" spans="1:7" ht="13.5" customHeight="1">
      <c r="A695" s="122"/>
      <c r="B695" s="122"/>
      <c r="G695" s="119"/>
    </row>
    <row r="696" spans="1:7" ht="13.5" customHeight="1">
      <c r="A696" s="122"/>
      <c r="B696" s="122"/>
      <c r="G696" s="119"/>
    </row>
    <row r="697" spans="1:7" ht="13.5" customHeight="1">
      <c r="A697" s="122"/>
      <c r="B697" s="122"/>
      <c r="G697" s="119"/>
    </row>
    <row r="698" spans="1:7" ht="13.5" customHeight="1">
      <c r="A698" s="122"/>
      <c r="B698" s="122"/>
      <c r="G698" s="119"/>
    </row>
    <row r="699" spans="1:7" ht="13.5" customHeight="1">
      <c r="A699" s="122"/>
      <c r="B699" s="122"/>
      <c r="G699" s="119"/>
    </row>
    <row r="700" spans="1:7" ht="13.5" customHeight="1">
      <c r="A700" s="122"/>
      <c r="B700" s="122"/>
      <c r="G700" s="119"/>
    </row>
    <row r="701" spans="1:7" ht="13.5" customHeight="1">
      <c r="A701" s="122"/>
      <c r="B701" s="122"/>
      <c r="G701" s="119"/>
    </row>
    <row r="702" spans="1:7" ht="13.5" customHeight="1">
      <c r="A702" s="122"/>
      <c r="B702" s="122"/>
      <c r="G702" s="119"/>
    </row>
    <row r="703" spans="1:7" ht="13.5" customHeight="1">
      <c r="A703" s="122"/>
      <c r="B703" s="122"/>
      <c r="G703" s="119"/>
    </row>
    <row r="704" spans="1:7" ht="13.5" customHeight="1">
      <c r="A704" s="122"/>
      <c r="B704" s="122"/>
      <c r="G704" s="119"/>
    </row>
    <row r="705" spans="1:7" ht="13.5" customHeight="1">
      <c r="A705" s="122"/>
      <c r="B705" s="122"/>
      <c r="G705" s="119"/>
    </row>
    <row r="706" spans="1:7" ht="13.5" customHeight="1">
      <c r="A706" s="122"/>
      <c r="B706" s="122"/>
      <c r="G706" s="119"/>
    </row>
    <row r="707" spans="1:7" ht="13.5" customHeight="1">
      <c r="A707" s="122"/>
      <c r="B707" s="122"/>
      <c r="G707" s="119"/>
    </row>
    <row r="708" spans="1:7" ht="13.5" customHeight="1">
      <c r="A708" s="122"/>
      <c r="B708" s="122"/>
      <c r="G708" s="119"/>
    </row>
    <row r="709" spans="1:7" ht="13.5" customHeight="1">
      <c r="A709" s="122"/>
      <c r="B709" s="122"/>
      <c r="G709" s="119"/>
    </row>
    <row r="710" spans="1:7" ht="13.5" customHeight="1">
      <c r="A710" s="122"/>
      <c r="B710" s="122"/>
      <c r="G710" s="119"/>
    </row>
    <row r="711" spans="1:7" ht="13.5" customHeight="1">
      <c r="A711" s="122"/>
      <c r="B711" s="122"/>
      <c r="G711" s="119"/>
    </row>
    <row r="712" spans="1:7" ht="13.5" customHeight="1">
      <c r="A712" s="122"/>
      <c r="B712" s="122"/>
      <c r="G712" s="119"/>
    </row>
    <row r="713" spans="1:7" ht="13.5" customHeight="1">
      <c r="A713" s="122"/>
      <c r="B713" s="122"/>
      <c r="G713" s="119"/>
    </row>
    <row r="714" spans="1:7" ht="13.5" customHeight="1">
      <c r="A714" s="122"/>
      <c r="B714" s="122"/>
      <c r="G714" s="119"/>
    </row>
    <row r="715" spans="1:7" ht="13.5" customHeight="1">
      <c r="A715" s="122"/>
      <c r="B715" s="122"/>
      <c r="G715" s="119"/>
    </row>
    <row r="716" spans="1:7" ht="13.5" customHeight="1">
      <c r="A716" s="122"/>
      <c r="B716" s="122"/>
      <c r="G716" s="119"/>
    </row>
    <row r="717" spans="1:7" ht="13.5" customHeight="1">
      <c r="A717" s="122"/>
      <c r="B717" s="122"/>
      <c r="G717" s="119"/>
    </row>
    <row r="718" spans="1:7" ht="13.5" customHeight="1">
      <c r="A718" s="122"/>
      <c r="B718" s="122"/>
      <c r="G718" s="119"/>
    </row>
    <row r="719" spans="1:7" ht="13.5" customHeight="1">
      <c r="A719" s="122"/>
      <c r="B719" s="122"/>
      <c r="G719" s="119"/>
    </row>
    <row r="720" spans="1:7" ht="13.5" customHeight="1">
      <c r="A720" s="122"/>
      <c r="B720" s="122"/>
      <c r="G720" s="119"/>
    </row>
    <row r="721" spans="1:7" ht="13.5" customHeight="1">
      <c r="A721" s="122"/>
      <c r="B721" s="122"/>
      <c r="G721" s="119"/>
    </row>
    <row r="722" spans="1:7" ht="13.5" customHeight="1">
      <c r="A722" s="122"/>
      <c r="B722" s="122"/>
      <c r="G722" s="119"/>
    </row>
    <row r="723" spans="1:7" ht="13.5" customHeight="1">
      <c r="A723" s="122"/>
      <c r="B723" s="122"/>
      <c r="G723" s="119"/>
    </row>
    <row r="724" spans="1:7" ht="13.5" customHeight="1">
      <c r="A724" s="122"/>
      <c r="B724" s="122"/>
      <c r="G724" s="119"/>
    </row>
    <row r="725" spans="1:7" ht="13.5" customHeight="1">
      <c r="A725" s="122"/>
      <c r="B725" s="122"/>
      <c r="G725" s="119"/>
    </row>
    <row r="726" spans="1:7" ht="13.5" customHeight="1">
      <c r="A726" s="122"/>
      <c r="B726" s="122"/>
      <c r="G726" s="119"/>
    </row>
    <row r="727" spans="1:7" ht="13.5" customHeight="1">
      <c r="A727" s="122"/>
      <c r="B727" s="122"/>
      <c r="G727" s="119"/>
    </row>
    <row r="728" spans="1:7" ht="13.5" customHeight="1">
      <c r="A728" s="122"/>
      <c r="B728" s="122"/>
      <c r="G728" s="119"/>
    </row>
    <row r="729" spans="1:7" ht="13.5" customHeight="1">
      <c r="A729" s="122"/>
      <c r="B729" s="122"/>
      <c r="G729" s="119"/>
    </row>
    <row r="730" spans="1:7" ht="13.5" customHeight="1">
      <c r="A730" s="122"/>
      <c r="B730" s="122"/>
      <c r="G730" s="119"/>
    </row>
    <row r="731" spans="1:7" ht="13.5" customHeight="1">
      <c r="A731" s="122"/>
      <c r="B731" s="122"/>
      <c r="G731" s="119"/>
    </row>
    <row r="732" spans="1:7" ht="13.5" customHeight="1">
      <c r="A732" s="122"/>
      <c r="B732" s="122"/>
      <c r="G732" s="119"/>
    </row>
    <row r="733" spans="1:7" ht="13.5" customHeight="1">
      <c r="A733" s="122"/>
      <c r="B733" s="122"/>
      <c r="G733" s="119"/>
    </row>
    <row r="734" spans="1:7" ht="13.5" customHeight="1">
      <c r="A734" s="122"/>
      <c r="B734" s="122"/>
      <c r="G734" s="119"/>
    </row>
    <row r="735" spans="1:7" ht="13.5" customHeight="1">
      <c r="A735" s="122"/>
      <c r="B735" s="122"/>
      <c r="G735" s="119"/>
    </row>
    <row r="736" spans="1:7" ht="13.5" customHeight="1">
      <c r="A736" s="122"/>
      <c r="B736" s="122"/>
      <c r="G736" s="119"/>
    </row>
    <row r="737" spans="1:7" ht="13.5" customHeight="1">
      <c r="A737" s="122"/>
      <c r="B737" s="122"/>
      <c r="G737" s="119"/>
    </row>
    <row r="738" spans="1:7" ht="13.5" customHeight="1">
      <c r="A738" s="122"/>
      <c r="B738" s="122"/>
      <c r="G738" s="119"/>
    </row>
    <row r="739" spans="1:7" ht="13.5" customHeight="1">
      <c r="A739" s="122"/>
      <c r="B739" s="122"/>
      <c r="G739" s="119"/>
    </row>
    <row r="740" spans="1:7" ht="13.5" customHeight="1">
      <c r="A740" s="122"/>
      <c r="B740" s="122"/>
      <c r="G740" s="119"/>
    </row>
    <row r="741" spans="1:7" ht="13.5" customHeight="1">
      <c r="A741" s="122"/>
      <c r="B741" s="122"/>
      <c r="G741" s="119"/>
    </row>
    <row r="742" spans="1:7" ht="13.5" customHeight="1">
      <c r="A742" s="122"/>
      <c r="B742" s="122"/>
      <c r="G742" s="119"/>
    </row>
    <row r="743" spans="1:7" ht="13.5" customHeight="1">
      <c r="A743" s="122"/>
      <c r="B743" s="122"/>
      <c r="G743" s="119"/>
    </row>
    <row r="744" spans="1:7" ht="13.5" customHeight="1">
      <c r="A744" s="122"/>
      <c r="B744" s="122"/>
      <c r="G744" s="119"/>
    </row>
    <row r="745" spans="1:7" ht="13.5" customHeight="1">
      <c r="A745" s="122"/>
      <c r="B745" s="122"/>
      <c r="G745" s="119"/>
    </row>
    <row r="746" spans="1:7" ht="13.5" customHeight="1">
      <c r="A746" s="122"/>
      <c r="B746" s="122"/>
      <c r="G746" s="119"/>
    </row>
    <row r="747" spans="1:7" ht="13.5" customHeight="1">
      <c r="A747" s="122"/>
      <c r="B747" s="122"/>
      <c r="G747" s="119"/>
    </row>
    <row r="748" spans="1:7" ht="13.5" customHeight="1">
      <c r="A748" s="122"/>
      <c r="B748" s="122"/>
      <c r="G748" s="119"/>
    </row>
    <row r="749" spans="1:7" ht="13.5" customHeight="1">
      <c r="A749" s="122"/>
      <c r="B749" s="122"/>
      <c r="G749" s="119"/>
    </row>
    <row r="750" spans="1:7" ht="13.5" customHeight="1">
      <c r="A750" s="122"/>
      <c r="B750" s="122"/>
      <c r="G750" s="119"/>
    </row>
    <row r="751" spans="1:7" ht="13.5" customHeight="1">
      <c r="A751" s="122"/>
      <c r="B751" s="122"/>
      <c r="G751" s="119"/>
    </row>
    <row r="752" spans="1:7" ht="13.5" customHeight="1">
      <c r="A752" s="122"/>
      <c r="B752" s="122"/>
      <c r="G752" s="119"/>
    </row>
    <row r="753" spans="1:7" ht="13.5" customHeight="1">
      <c r="A753" s="122"/>
      <c r="B753" s="122"/>
      <c r="G753" s="119"/>
    </row>
    <row r="754" spans="1:7" ht="13.5" customHeight="1">
      <c r="A754" s="122"/>
      <c r="B754" s="122"/>
      <c r="G754" s="119"/>
    </row>
    <row r="755" spans="1:7" ht="13.5" customHeight="1">
      <c r="A755" s="122"/>
      <c r="B755" s="122"/>
      <c r="G755" s="119"/>
    </row>
    <row r="756" spans="1:7" ht="13.5" customHeight="1">
      <c r="A756" s="122"/>
      <c r="B756" s="122"/>
      <c r="G756" s="119"/>
    </row>
    <row r="757" spans="1:7" ht="13.5" customHeight="1">
      <c r="A757" s="122"/>
      <c r="B757" s="122"/>
      <c r="G757" s="119"/>
    </row>
    <row r="758" spans="1:7" ht="13.5" customHeight="1">
      <c r="A758" s="122"/>
      <c r="B758" s="122"/>
      <c r="G758" s="119"/>
    </row>
    <row r="759" spans="1:7" ht="13.5" customHeight="1">
      <c r="A759" s="122"/>
      <c r="B759" s="122"/>
      <c r="G759" s="119"/>
    </row>
    <row r="760" spans="1:7" ht="13.5" customHeight="1">
      <c r="A760" s="122"/>
      <c r="B760" s="122"/>
      <c r="G760" s="119"/>
    </row>
    <row r="761" spans="1:7" ht="13.5" customHeight="1">
      <c r="A761" s="122"/>
      <c r="B761" s="122"/>
      <c r="G761" s="119"/>
    </row>
    <row r="762" spans="1:7" ht="13.5" customHeight="1">
      <c r="A762" s="122"/>
      <c r="B762" s="122"/>
      <c r="G762" s="119"/>
    </row>
    <row r="763" spans="1:7" ht="13.5" customHeight="1">
      <c r="A763" s="122"/>
      <c r="B763" s="122"/>
      <c r="G763" s="119"/>
    </row>
    <row r="764" spans="1:7" ht="13.5" customHeight="1">
      <c r="A764" s="122"/>
      <c r="B764" s="122"/>
      <c r="G764" s="119"/>
    </row>
    <row r="765" spans="1:7" ht="13.5" customHeight="1">
      <c r="A765" s="122"/>
      <c r="B765" s="122"/>
      <c r="G765" s="119"/>
    </row>
    <row r="766" spans="1:7" ht="13.5" customHeight="1">
      <c r="A766" s="122"/>
      <c r="B766" s="122"/>
      <c r="G766" s="119"/>
    </row>
    <row r="767" spans="1:7" ht="13.5" customHeight="1">
      <c r="A767" s="122"/>
      <c r="B767" s="122"/>
      <c r="G767" s="119"/>
    </row>
    <row r="768" spans="1:7" ht="13.5" customHeight="1">
      <c r="A768" s="122"/>
      <c r="B768" s="122"/>
      <c r="G768" s="119"/>
    </row>
    <row r="769" spans="1:7" ht="13.5" customHeight="1">
      <c r="A769" s="122"/>
      <c r="B769" s="122"/>
      <c r="G769" s="119"/>
    </row>
    <row r="770" spans="1:7" ht="13.5" customHeight="1">
      <c r="A770" s="122"/>
      <c r="B770" s="122"/>
      <c r="G770" s="119"/>
    </row>
    <row r="771" spans="1:7" ht="13.5" customHeight="1">
      <c r="A771" s="122"/>
      <c r="B771" s="122"/>
      <c r="G771" s="119"/>
    </row>
    <row r="772" spans="1:7" ht="13.5" customHeight="1">
      <c r="A772" s="122"/>
      <c r="B772" s="122"/>
      <c r="G772" s="119"/>
    </row>
    <row r="773" spans="1:7" ht="13.5" customHeight="1">
      <c r="A773" s="122"/>
      <c r="B773" s="122"/>
      <c r="G773" s="119"/>
    </row>
    <row r="774" spans="1:7" ht="13.5" customHeight="1">
      <c r="A774" s="122"/>
      <c r="B774" s="122"/>
      <c r="G774" s="119"/>
    </row>
    <row r="775" spans="1:7" ht="13.5" customHeight="1">
      <c r="A775" s="122"/>
      <c r="B775" s="122"/>
      <c r="G775" s="119"/>
    </row>
    <row r="776" spans="1:7" ht="13.5" customHeight="1">
      <c r="A776" s="122"/>
      <c r="B776" s="122"/>
      <c r="G776" s="119"/>
    </row>
    <row r="777" spans="1:7" ht="13.5" customHeight="1">
      <c r="A777" s="122"/>
      <c r="B777" s="122"/>
      <c r="G777" s="119"/>
    </row>
    <row r="778" spans="1:7" ht="13.5" customHeight="1">
      <c r="A778" s="122"/>
      <c r="B778" s="122"/>
      <c r="G778" s="119"/>
    </row>
    <row r="779" spans="1:7" ht="13.5" customHeight="1">
      <c r="A779" s="122"/>
      <c r="B779" s="122"/>
      <c r="G779" s="119"/>
    </row>
    <row r="780" spans="1:7" ht="13.5" customHeight="1">
      <c r="A780" s="122"/>
      <c r="B780" s="122"/>
      <c r="G780" s="119"/>
    </row>
    <row r="781" spans="1:7" ht="13.5" customHeight="1">
      <c r="A781" s="122"/>
      <c r="B781" s="122"/>
      <c r="G781" s="119"/>
    </row>
    <row r="782" spans="1:7" ht="13.5" customHeight="1">
      <c r="A782" s="122"/>
      <c r="B782" s="122"/>
      <c r="G782" s="119"/>
    </row>
    <row r="783" spans="1:7" ht="13.5" customHeight="1">
      <c r="A783" s="122"/>
      <c r="B783" s="122"/>
      <c r="G783" s="119"/>
    </row>
    <row r="784" spans="1:7" ht="13.5" customHeight="1">
      <c r="A784" s="122"/>
      <c r="B784" s="122"/>
      <c r="G784" s="119"/>
    </row>
    <row r="785" spans="1:7" ht="13.5" customHeight="1">
      <c r="A785" s="122"/>
      <c r="B785" s="122"/>
      <c r="G785" s="119"/>
    </row>
    <row r="786" spans="1:7" ht="13.5" customHeight="1">
      <c r="A786" s="122"/>
      <c r="B786" s="122"/>
      <c r="G786" s="119"/>
    </row>
    <row r="787" spans="1:7" ht="13.5" customHeight="1">
      <c r="A787" s="122"/>
      <c r="B787" s="122"/>
      <c r="G787" s="119"/>
    </row>
    <row r="788" spans="1:7" ht="13.5" customHeight="1">
      <c r="A788" s="122"/>
      <c r="B788" s="122"/>
      <c r="G788" s="119"/>
    </row>
    <row r="789" spans="1:7" ht="13.5" customHeight="1">
      <c r="A789" s="122"/>
      <c r="B789" s="122"/>
      <c r="G789" s="119"/>
    </row>
    <row r="790" spans="1:7" ht="13.5" customHeight="1">
      <c r="A790" s="122"/>
      <c r="B790" s="122"/>
      <c r="G790" s="119"/>
    </row>
    <row r="791" spans="1:7" ht="13.5" customHeight="1">
      <c r="A791" s="122"/>
      <c r="B791" s="122"/>
      <c r="G791" s="119"/>
    </row>
    <row r="792" spans="1:7" ht="13.5" customHeight="1">
      <c r="A792" s="122"/>
      <c r="B792" s="122"/>
      <c r="G792" s="119"/>
    </row>
    <row r="793" spans="1:7" ht="13.5" customHeight="1">
      <c r="A793" s="122"/>
      <c r="B793" s="122"/>
      <c r="G793" s="119"/>
    </row>
    <row r="794" spans="1:7" ht="13.5" customHeight="1">
      <c r="A794" s="122"/>
      <c r="B794" s="122"/>
      <c r="G794" s="119"/>
    </row>
    <row r="795" spans="1:7" ht="13.5" customHeight="1">
      <c r="A795" s="122"/>
      <c r="B795" s="122"/>
      <c r="G795" s="119"/>
    </row>
    <row r="796" spans="1:7" ht="13.5" customHeight="1">
      <c r="A796" s="122"/>
      <c r="B796" s="122"/>
      <c r="G796" s="119"/>
    </row>
    <row r="797" spans="1:7" ht="13.5" customHeight="1">
      <c r="A797" s="122"/>
      <c r="B797" s="122"/>
      <c r="G797" s="119"/>
    </row>
    <row r="798" spans="1:7" ht="13.5" customHeight="1">
      <c r="A798" s="122"/>
      <c r="B798" s="122"/>
      <c r="G798" s="119"/>
    </row>
    <row r="799" spans="1:7" ht="13.5" customHeight="1">
      <c r="A799" s="122"/>
      <c r="B799" s="122"/>
      <c r="G799" s="119"/>
    </row>
    <row r="800" spans="1:7" ht="13.5" customHeight="1">
      <c r="A800" s="122"/>
      <c r="B800" s="122"/>
      <c r="G800" s="119"/>
    </row>
    <row r="801" spans="1:7" ht="13.5" customHeight="1">
      <c r="A801" s="122"/>
      <c r="B801" s="122"/>
      <c r="G801" s="119"/>
    </row>
    <row r="802" spans="1:7" ht="13.5" customHeight="1">
      <c r="A802" s="122"/>
      <c r="B802" s="122"/>
      <c r="G802" s="119"/>
    </row>
    <row r="803" spans="1:7" ht="13.5" customHeight="1">
      <c r="A803" s="122"/>
      <c r="B803" s="122"/>
      <c r="G803" s="119"/>
    </row>
    <row r="804" spans="1:7" ht="13.5" customHeight="1">
      <c r="A804" s="122"/>
      <c r="B804" s="122"/>
      <c r="G804" s="119"/>
    </row>
    <row r="805" spans="1:7" ht="13.5" customHeight="1">
      <c r="A805" s="122"/>
      <c r="B805" s="122"/>
      <c r="G805" s="119"/>
    </row>
    <row r="806" spans="1:7" ht="13.5" customHeight="1">
      <c r="A806" s="122"/>
      <c r="B806" s="122"/>
      <c r="G806" s="119"/>
    </row>
    <row r="807" spans="1:7" ht="13.5" customHeight="1">
      <c r="A807" s="122"/>
      <c r="B807" s="122"/>
      <c r="G807" s="119"/>
    </row>
    <row r="808" spans="1:7" ht="13.5" customHeight="1">
      <c r="A808" s="122"/>
      <c r="B808" s="122"/>
      <c r="G808" s="119"/>
    </row>
    <row r="809" spans="1:7" ht="13.5" customHeight="1">
      <c r="A809" s="122"/>
      <c r="B809" s="122"/>
      <c r="G809" s="119"/>
    </row>
    <row r="810" spans="1:7" ht="13.5" customHeight="1">
      <c r="A810" s="122"/>
      <c r="B810" s="122"/>
      <c r="G810" s="119"/>
    </row>
    <row r="811" spans="1:7" ht="13.5" customHeight="1">
      <c r="A811" s="122"/>
      <c r="B811" s="122"/>
      <c r="G811" s="119"/>
    </row>
    <row r="812" spans="1:7" ht="13.5" customHeight="1">
      <c r="A812" s="122"/>
      <c r="B812" s="122"/>
      <c r="G812" s="119"/>
    </row>
    <row r="813" spans="1:7" ht="13.5" customHeight="1">
      <c r="A813" s="122"/>
      <c r="B813" s="122"/>
      <c r="G813" s="119"/>
    </row>
    <row r="814" spans="1:7" ht="13.5" customHeight="1">
      <c r="A814" s="122"/>
      <c r="B814" s="122"/>
      <c r="G814" s="119"/>
    </row>
    <row r="815" spans="1:7" ht="13.5" customHeight="1">
      <c r="A815" s="122"/>
      <c r="B815" s="122"/>
      <c r="G815" s="119"/>
    </row>
    <row r="816" spans="1:7" ht="13.5" customHeight="1">
      <c r="A816" s="122"/>
      <c r="B816" s="122"/>
      <c r="G816" s="119"/>
    </row>
    <row r="817" spans="1:7" ht="13.5" customHeight="1">
      <c r="A817" s="122"/>
      <c r="B817" s="122"/>
      <c r="G817" s="119"/>
    </row>
    <row r="818" spans="1:7" ht="13.5" customHeight="1">
      <c r="A818" s="122"/>
      <c r="B818" s="122"/>
      <c r="G818" s="119"/>
    </row>
    <row r="819" spans="1:7" ht="13.5" customHeight="1">
      <c r="A819" s="122"/>
      <c r="B819" s="122"/>
      <c r="G819" s="119"/>
    </row>
    <row r="820" spans="1:7" ht="13.5" customHeight="1">
      <c r="A820" s="122"/>
      <c r="B820" s="122"/>
      <c r="G820" s="119"/>
    </row>
    <row r="821" spans="1:7" ht="13.5" customHeight="1">
      <c r="A821" s="122"/>
      <c r="B821" s="122"/>
      <c r="G821" s="119"/>
    </row>
    <row r="822" spans="1:7" ht="13.5" customHeight="1">
      <c r="A822" s="122"/>
      <c r="B822" s="122"/>
      <c r="G822" s="119"/>
    </row>
    <row r="823" spans="1:7" ht="13.5" customHeight="1">
      <c r="A823" s="122"/>
      <c r="B823" s="122"/>
      <c r="G823" s="119"/>
    </row>
    <row r="824" spans="1:7" ht="13.5" customHeight="1">
      <c r="A824" s="122"/>
      <c r="B824" s="122"/>
      <c r="G824" s="119"/>
    </row>
    <row r="825" spans="1:7" ht="13.5" customHeight="1">
      <c r="A825" s="122"/>
      <c r="B825" s="122"/>
      <c r="G825" s="119"/>
    </row>
    <row r="826" spans="1:7" ht="13.5" customHeight="1">
      <c r="A826" s="122"/>
      <c r="B826" s="122"/>
      <c r="G826" s="119"/>
    </row>
    <row r="827" spans="1:7" ht="13.5" customHeight="1">
      <c r="A827" s="122"/>
      <c r="B827" s="122"/>
      <c r="G827" s="119"/>
    </row>
    <row r="828" spans="1:7" ht="13.5" customHeight="1">
      <c r="A828" s="122"/>
      <c r="B828" s="122"/>
      <c r="G828" s="119"/>
    </row>
    <row r="829" spans="1:7" ht="13.5" customHeight="1">
      <c r="A829" s="122"/>
      <c r="B829" s="122"/>
      <c r="G829" s="119"/>
    </row>
    <row r="830" spans="1:7" ht="13.5" customHeight="1">
      <c r="A830" s="122"/>
      <c r="B830" s="122"/>
      <c r="G830" s="119"/>
    </row>
    <row r="831" spans="1:7" ht="13.5" customHeight="1">
      <c r="A831" s="122"/>
      <c r="B831" s="122"/>
      <c r="G831" s="119"/>
    </row>
    <row r="832" spans="1:7" ht="13.5" customHeight="1">
      <c r="A832" s="122"/>
      <c r="B832" s="122"/>
      <c r="G832" s="119"/>
    </row>
    <row r="833" spans="1:7" ht="13.5" customHeight="1">
      <c r="A833" s="122"/>
      <c r="B833" s="122"/>
      <c r="G833" s="119"/>
    </row>
    <row r="834" spans="1:7" ht="13.5" customHeight="1">
      <c r="A834" s="122"/>
      <c r="B834" s="122"/>
      <c r="G834" s="119"/>
    </row>
    <row r="835" spans="1:7" ht="13.5" customHeight="1">
      <c r="A835" s="122"/>
      <c r="B835" s="122"/>
      <c r="G835" s="119"/>
    </row>
    <row r="836" spans="1:7" ht="13.5" customHeight="1">
      <c r="A836" s="122"/>
      <c r="B836" s="122"/>
      <c r="G836" s="119"/>
    </row>
    <row r="837" spans="1:7" ht="13.5" customHeight="1">
      <c r="A837" s="122"/>
      <c r="B837" s="122"/>
      <c r="G837" s="119"/>
    </row>
    <row r="838" spans="1:7" ht="13.5" customHeight="1">
      <c r="A838" s="122"/>
      <c r="B838" s="122"/>
      <c r="G838" s="119"/>
    </row>
    <row r="839" spans="1:7" ht="13.5" customHeight="1">
      <c r="A839" s="122"/>
      <c r="B839" s="122"/>
      <c r="G839" s="119"/>
    </row>
    <row r="840" spans="1:7" ht="13.5" customHeight="1">
      <c r="A840" s="122"/>
      <c r="B840" s="122"/>
      <c r="G840" s="119"/>
    </row>
    <row r="841" spans="1:7" ht="13.5" customHeight="1">
      <c r="A841" s="122"/>
      <c r="B841" s="122"/>
      <c r="G841" s="119"/>
    </row>
    <row r="842" spans="1:7" ht="13.5" customHeight="1">
      <c r="A842" s="122"/>
      <c r="B842" s="122"/>
      <c r="G842" s="119"/>
    </row>
    <row r="843" spans="1:7" ht="13.5" customHeight="1">
      <c r="A843" s="122"/>
      <c r="B843" s="122"/>
      <c r="G843" s="119"/>
    </row>
    <row r="844" spans="1:7" ht="13.5" customHeight="1">
      <c r="A844" s="122"/>
      <c r="B844" s="122"/>
      <c r="G844" s="119"/>
    </row>
    <row r="845" spans="1:7" ht="13.5" customHeight="1">
      <c r="A845" s="122"/>
      <c r="B845" s="122"/>
      <c r="G845" s="119"/>
    </row>
    <row r="846" spans="1:7" ht="13.5" customHeight="1">
      <c r="A846" s="122"/>
      <c r="B846" s="122"/>
      <c r="G846" s="119"/>
    </row>
    <row r="847" spans="1:7" ht="13.5" customHeight="1">
      <c r="A847" s="122"/>
      <c r="B847" s="122"/>
      <c r="G847" s="119"/>
    </row>
    <row r="848" spans="1:7" ht="13.5" customHeight="1">
      <c r="A848" s="122"/>
      <c r="B848" s="122"/>
      <c r="G848" s="119"/>
    </row>
    <row r="849" spans="1:7" ht="13.5" customHeight="1">
      <c r="A849" s="122"/>
      <c r="B849" s="122"/>
      <c r="G849" s="119"/>
    </row>
    <row r="850" spans="1:7" ht="13.5" customHeight="1">
      <c r="A850" s="122"/>
      <c r="B850" s="122"/>
      <c r="G850" s="119"/>
    </row>
    <row r="851" spans="1:7" ht="13.5" customHeight="1">
      <c r="A851" s="122"/>
      <c r="B851" s="122"/>
      <c r="G851" s="119"/>
    </row>
    <row r="852" spans="1:7" ht="13.5" customHeight="1">
      <c r="A852" s="122"/>
      <c r="B852" s="122"/>
      <c r="G852" s="119"/>
    </row>
    <row r="853" spans="1:7" ht="13.5" customHeight="1">
      <c r="A853" s="122"/>
      <c r="B853" s="122"/>
      <c r="G853" s="119"/>
    </row>
    <row r="854" spans="1:7" ht="13.5" customHeight="1">
      <c r="A854" s="122"/>
      <c r="B854" s="122"/>
      <c r="G854" s="119"/>
    </row>
    <row r="855" spans="1:7" ht="13.5" customHeight="1">
      <c r="A855" s="122"/>
      <c r="B855" s="122"/>
      <c r="G855" s="119"/>
    </row>
    <row r="856" spans="1:7" ht="13.5" customHeight="1">
      <c r="A856" s="122"/>
      <c r="B856" s="122"/>
      <c r="G856" s="119"/>
    </row>
    <row r="857" spans="1:7" ht="13.5" customHeight="1">
      <c r="A857" s="122"/>
      <c r="B857" s="122"/>
      <c r="G857" s="119"/>
    </row>
    <row r="858" spans="1:7" ht="13.5" customHeight="1">
      <c r="A858" s="122"/>
      <c r="B858" s="122"/>
      <c r="G858" s="119"/>
    </row>
    <row r="859" spans="1:7" ht="13.5" customHeight="1">
      <c r="A859" s="122"/>
      <c r="B859" s="122"/>
      <c r="G859" s="119"/>
    </row>
    <row r="860" spans="1:7" ht="13.5" customHeight="1">
      <c r="A860" s="122"/>
      <c r="B860" s="122"/>
      <c r="G860" s="119"/>
    </row>
    <row r="861" spans="1:7" ht="13.5" customHeight="1">
      <c r="A861" s="122"/>
      <c r="B861" s="122"/>
      <c r="G861" s="119"/>
    </row>
    <row r="862" spans="1:7" ht="13.5" customHeight="1">
      <c r="A862" s="122"/>
      <c r="B862" s="122"/>
      <c r="G862" s="119"/>
    </row>
    <row r="863" spans="1:7" ht="13.5" customHeight="1">
      <c r="A863" s="122"/>
      <c r="B863" s="122"/>
      <c r="G863" s="119"/>
    </row>
    <row r="864" spans="1:7" ht="13.5" customHeight="1">
      <c r="A864" s="122"/>
      <c r="B864" s="122"/>
      <c r="G864" s="119"/>
    </row>
    <row r="865" spans="1:7" ht="13.5" customHeight="1">
      <c r="A865" s="122"/>
      <c r="B865" s="122"/>
      <c r="G865" s="119"/>
    </row>
    <row r="866" spans="1:7" ht="13.5" customHeight="1">
      <c r="A866" s="122"/>
      <c r="B866" s="122"/>
      <c r="G866" s="119"/>
    </row>
    <row r="867" spans="1:7" ht="13.5" customHeight="1">
      <c r="A867" s="122"/>
      <c r="B867" s="122"/>
      <c r="G867" s="119"/>
    </row>
    <row r="868" spans="1:7" ht="13.5" customHeight="1">
      <c r="A868" s="122"/>
      <c r="B868" s="122"/>
      <c r="G868" s="119"/>
    </row>
    <row r="869" spans="1:7" ht="13.5" customHeight="1">
      <c r="A869" s="122"/>
      <c r="B869" s="122"/>
      <c r="G869" s="119"/>
    </row>
    <row r="870" spans="1:7" ht="13.5" customHeight="1">
      <c r="A870" s="122"/>
      <c r="B870" s="122"/>
      <c r="G870" s="119"/>
    </row>
    <row r="871" spans="1:7" ht="13.5" customHeight="1">
      <c r="A871" s="122"/>
      <c r="B871" s="122"/>
      <c r="G871" s="119"/>
    </row>
    <row r="872" spans="1:7" ht="13.5" customHeight="1">
      <c r="A872" s="122"/>
      <c r="B872" s="122"/>
      <c r="G872" s="119"/>
    </row>
    <row r="873" spans="1:7" ht="13.5" customHeight="1">
      <c r="A873" s="122"/>
      <c r="B873" s="122"/>
      <c r="G873" s="119"/>
    </row>
    <row r="874" spans="1:7" ht="13.5" customHeight="1">
      <c r="A874" s="122"/>
      <c r="B874" s="122"/>
      <c r="G874" s="119"/>
    </row>
    <row r="875" spans="1:7" ht="13.5" customHeight="1">
      <c r="A875" s="122"/>
      <c r="B875" s="122"/>
      <c r="G875" s="119"/>
    </row>
    <row r="876" spans="1:7" ht="13.5" customHeight="1">
      <c r="A876" s="122"/>
      <c r="B876" s="122"/>
      <c r="G876" s="119"/>
    </row>
    <row r="877" spans="1:7" ht="13.5" customHeight="1">
      <c r="A877" s="122"/>
      <c r="B877" s="122"/>
      <c r="G877" s="119"/>
    </row>
    <row r="878" spans="1:7" ht="13.5" customHeight="1">
      <c r="A878" s="122"/>
      <c r="B878" s="122"/>
      <c r="G878" s="119"/>
    </row>
    <row r="879" spans="1:7" ht="13.5" customHeight="1">
      <c r="A879" s="122"/>
      <c r="B879" s="122"/>
      <c r="G879" s="119"/>
    </row>
    <row r="880" spans="1:7" ht="13.5" customHeight="1">
      <c r="A880" s="122"/>
      <c r="B880" s="122"/>
      <c r="G880" s="119"/>
    </row>
    <row r="881" spans="1:7" ht="13.5" customHeight="1">
      <c r="A881" s="122"/>
      <c r="B881" s="122"/>
      <c r="G881" s="119"/>
    </row>
    <row r="882" spans="1:7" ht="13.5" customHeight="1">
      <c r="A882" s="122"/>
      <c r="B882" s="122"/>
      <c r="G882" s="119"/>
    </row>
    <row r="883" spans="1:7" ht="13.5" customHeight="1">
      <c r="A883" s="122"/>
      <c r="B883" s="122"/>
      <c r="G883" s="119"/>
    </row>
    <row r="884" spans="1:7" ht="13.5" customHeight="1">
      <c r="A884" s="122"/>
      <c r="B884" s="122"/>
      <c r="G884" s="119"/>
    </row>
    <row r="885" spans="1:7" ht="13.5" customHeight="1">
      <c r="A885" s="122"/>
      <c r="B885" s="122"/>
      <c r="G885" s="119"/>
    </row>
    <row r="886" spans="1:7" ht="13.5" customHeight="1">
      <c r="A886" s="122"/>
      <c r="B886" s="122"/>
      <c r="G886" s="119"/>
    </row>
    <row r="887" spans="1:7" ht="13.5" customHeight="1">
      <c r="A887" s="122"/>
      <c r="B887" s="122"/>
      <c r="G887" s="119"/>
    </row>
    <row r="888" spans="1:7" ht="13.5" customHeight="1">
      <c r="A888" s="122"/>
      <c r="B888" s="122"/>
      <c r="G888" s="119"/>
    </row>
    <row r="889" spans="1:7" ht="13.5" customHeight="1">
      <c r="A889" s="122"/>
      <c r="B889" s="122"/>
      <c r="G889" s="119"/>
    </row>
    <row r="890" spans="1:7" ht="13.5" customHeight="1">
      <c r="A890" s="122"/>
      <c r="B890" s="122"/>
      <c r="G890" s="119"/>
    </row>
    <row r="891" spans="1:7" ht="13.5" customHeight="1">
      <c r="A891" s="122"/>
      <c r="B891" s="122"/>
      <c r="G891" s="119"/>
    </row>
    <row r="892" spans="1:7" ht="13.5" customHeight="1">
      <c r="A892" s="122"/>
      <c r="B892" s="122"/>
      <c r="G892" s="119"/>
    </row>
    <row r="893" spans="1:7" ht="13.5" customHeight="1">
      <c r="A893" s="122"/>
      <c r="B893" s="122"/>
      <c r="G893" s="119"/>
    </row>
    <row r="894" spans="1:7" ht="13.5" customHeight="1">
      <c r="A894" s="122"/>
      <c r="B894" s="122"/>
      <c r="G894" s="119"/>
    </row>
    <row r="895" spans="1:7" ht="13.5" customHeight="1">
      <c r="A895" s="122"/>
      <c r="B895" s="122"/>
      <c r="G895" s="119"/>
    </row>
    <row r="896" spans="1:7" ht="13.5" customHeight="1">
      <c r="A896" s="122"/>
      <c r="B896" s="122"/>
      <c r="G896" s="119"/>
    </row>
    <row r="897" spans="1:7" ht="13.5" customHeight="1">
      <c r="A897" s="122"/>
      <c r="B897" s="122"/>
      <c r="G897" s="119"/>
    </row>
    <row r="898" spans="1:7" ht="13.5" customHeight="1">
      <c r="A898" s="122"/>
      <c r="B898" s="122"/>
      <c r="G898" s="119"/>
    </row>
    <row r="899" spans="1:7" ht="13.5" customHeight="1">
      <c r="A899" s="122"/>
      <c r="B899" s="122"/>
      <c r="G899" s="119"/>
    </row>
    <row r="900" spans="1:7" ht="13.5" customHeight="1">
      <c r="A900" s="122"/>
      <c r="B900" s="122"/>
      <c r="G900" s="119"/>
    </row>
    <row r="901" spans="1:7" ht="13.5" customHeight="1">
      <c r="A901" s="122"/>
      <c r="B901" s="122"/>
      <c r="G901" s="119"/>
    </row>
    <row r="902" spans="1:7" ht="13.5" customHeight="1">
      <c r="A902" s="122"/>
      <c r="B902" s="122"/>
      <c r="G902" s="119"/>
    </row>
    <row r="903" spans="1:7" ht="13.5" customHeight="1">
      <c r="A903" s="122"/>
      <c r="B903" s="122"/>
      <c r="G903" s="119"/>
    </row>
    <row r="904" spans="1:7" ht="13.5" customHeight="1">
      <c r="A904" s="122"/>
      <c r="B904" s="122"/>
      <c r="G904" s="119"/>
    </row>
    <row r="905" spans="1:7" ht="13.5" customHeight="1">
      <c r="A905" s="122"/>
      <c r="B905" s="122"/>
      <c r="G905" s="119"/>
    </row>
    <row r="906" spans="1:7" ht="13.5" customHeight="1">
      <c r="A906" s="122"/>
      <c r="B906" s="122"/>
      <c r="G906" s="119"/>
    </row>
    <row r="907" spans="1:7" ht="13.5" customHeight="1">
      <c r="A907" s="122"/>
      <c r="B907" s="122"/>
      <c r="G907" s="119"/>
    </row>
    <row r="908" spans="1:7" ht="13.5" customHeight="1">
      <c r="A908" s="122"/>
      <c r="B908" s="122"/>
      <c r="G908" s="119"/>
    </row>
    <row r="909" spans="1:7" ht="13.5" customHeight="1">
      <c r="A909" s="122"/>
      <c r="B909" s="122"/>
      <c r="G909" s="119"/>
    </row>
    <row r="910" spans="1:7" ht="13.5" customHeight="1">
      <c r="A910" s="122"/>
      <c r="B910" s="122"/>
      <c r="G910" s="119"/>
    </row>
    <row r="911" spans="1:7" ht="13.5" customHeight="1">
      <c r="A911" s="122"/>
      <c r="B911" s="122"/>
      <c r="G911" s="119"/>
    </row>
    <row r="912" spans="1:7" ht="13.5" customHeight="1">
      <c r="A912" s="122"/>
      <c r="B912" s="122"/>
      <c r="G912" s="119"/>
    </row>
    <row r="913" spans="1:7" ht="13.5" customHeight="1">
      <c r="A913" s="122"/>
      <c r="B913" s="122"/>
      <c r="G913" s="119"/>
    </row>
    <row r="914" spans="1:7" ht="13.5" customHeight="1">
      <c r="A914" s="122"/>
      <c r="B914" s="122"/>
      <c r="G914" s="119"/>
    </row>
    <row r="915" spans="1:7" ht="13.5" customHeight="1">
      <c r="A915" s="122"/>
      <c r="B915" s="122"/>
      <c r="G915" s="119"/>
    </row>
    <row r="916" spans="1:7" ht="13.5" customHeight="1">
      <c r="A916" s="122"/>
      <c r="B916" s="122"/>
      <c r="G916" s="119"/>
    </row>
    <row r="917" spans="1:7" ht="13.5" customHeight="1">
      <c r="A917" s="122"/>
      <c r="B917" s="122"/>
      <c r="G917" s="119"/>
    </row>
    <row r="918" spans="1:7" ht="13.5" customHeight="1">
      <c r="A918" s="122"/>
      <c r="B918" s="122"/>
      <c r="G918" s="119"/>
    </row>
    <row r="919" spans="1:7" ht="13.5" customHeight="1">
      <c r="A919" s="122"/>
      <c r="B919" s="122"/>
      <c r="G919" s="119"/>
    </row>
    <row r="920" spans="1:7" ht="13.5" customHeight="1">
      <c r="A920" s="122"/>
      <c r="B920" s="122"/>
      <c r="G920" s="119"/>
    </row>
    <row r="921" spans="1:7" ht="13.5" customHeight="1">
      <c r="A921" s="122"/>
      <c r="B921" s="122"/>
      <c r="G921" s="119"/>
    </row>
    <row r="922" spans="1:7" ht="13.5" customHeight="1">
      <c r="A922" s="122"/>
      <c r="B922" s="122"/>
      <c r="G922" s="119"/>
    </row>
    <row r="923" spans="1:7" ht="13.5" customHeight="1">
      <c r="A923" s="122"/>
      <c r="B923" s="122"/>
      <c r="G923" s="119"/>
    </row>
    <row r="924" spans="1:7" ht="13.5" customHeight="1">
      <c r="A924" s="122"/>
      <c r="B924" s="122"/>
      <c r="G924" s="119"/>
    </row>
    <row r="925" spans="1:7" ht="13.5" customHeight="1">
      <c r="A925" s="122"/>
      <c r="B925" s="122"/>
      <c r="G925" s="119"/>
    </row>
    <row r="926" spans="1:7" ht="13.5" customHeight="1">
      <c r="A926" s="122"/>
      <c r="B926" s="122"/>
      <c r="G926" s="119"/>
    </row>
    <row r="927" spans="1:7" ht="13.5" customHeight="1">
      <c r="A927" s="122"/>
      <c r="B927" s="122"/>
      <c r="G927" s="119"/>
    </row>
    <row r="928" spans="1:7" ht="13.5" customHeight="1">
      <c r="A928" s="122"/>
      <c r="B928" s="122"/>
      <c r="G928" s="119"/>
    </row>
    <row r="929" spans="1:7" ht="13.5" customHeight="1">
      <c r="A929" s="122"/>
      <c r="B929" s="122"/>
      <c r="G929" s="119"/>
    </row>
    <row r="930" spans="1:7" ht="13.5" customHeight="1">
      <c r="A930" s="122"/>
      <c r="B930" s="122"/>
      <c r="G930" s="119"/>
    </row>
    <row r="931" spans="1:7" ht="13.5" customHeight="1">
      <c r="A931" s="122"/>
      <c r="B931" s="122"/>
      <c r="G931" s="119"/>
    </row>
    <row r="932" spans="1:7" ht="13.5" customHeight="1">
      <c r="A932" s="122"/>
      <c r="B932" s="122"/>
      <c r="G932" s="119"/>
    </row>
    <row r="933" spans="1:7" ht="13.5" customHeight="1">
      <c r="A933" s="122"/>
      <c r="B933" s="122"/>
      <c r="G933" s="119"/>
    </row>
    <row r="934" spans="1:7" ht="13.5" customHeight="1">
      <c r="A934" s="122"/>
      <c r="B934" s="122"/>
      <c r="G934" s="119"/>
    </row>
    <row r="935" spans="1:7" ht="13.5" customHeight="1">
      <c r="A935" s="122"/>
      <c r="B935" s="122"/>
      <c r="G935" s="119"/>
    </row>
    <row r="936" spans="1:7" ht="13.5" customHeight="1">
      <c r="A936" s="122"/>
      <c r="B936" s="122"/>
      <c r="G936" s="119"/>
    </row>
    <row r="937" spans="1:7" ht="13.5" customHeight="1">
      <c r="A937" s="122"/>
      <c r="B937" s="122"/>
      <c r="G937" s="119"/>
    </row>
    <row r="938" spans="1:7" ht="13.5" customHeight="1">
      <c r="A938" s="122"/>
      <c r="B938" s="122"/>
      <c r="G938" s="119"/>
    </row>
    <row r="939" spans="1:7" ht="13.5" customHeight="1">
      <c r="A939" s="122"/>
      <c r="B939" s="122"/>
      <c r="G939" s="119"/>
    </row>
    <row r="940" spans="1:7" ht="13.5" customHeight="1">
      <c r="A940" s="122"/>
      <c r="B940" s="122"/>
      <c r="G940" s="119"/>
    </row>
    <row r="941" spans="1:7" ht="13.5" customHeight="1">
      <c r="A941" s="122"/>
      <c r="B941" s="122"/>
      <c r="G941" s="119"/>
    </row>
    <row r="942" spans="1:7" ht="13.5" customHeight="1">
      <c r="A942" s="122"/>
      <c r="B942" s="122"/>
      <c r="G942" s="119"/>
    </row>
    <row r="943" spans="1:7" ht="13.5" customHeight="1">
      <c r="A943" s="122"/>
      <c r="B943" s="122"/>
      <c r="G943" s="119"/>
    </row>
    <row r="944" spans="1:7" ht="13.5" customHeight="1">
      <c r="A944" s="122"/>
      <c r="B944" s="122"/>
      <c r="G944" s="119"/>
    </row>
    <row r="945" spans="1:7" ht="13.5" customHeight="1">
      <c r="A945" s="122"/>
      <c r="B945" s="122"/>
      <c r="G945" s="119"/>
    </row>
    <row r="946" spans="1:7" ht="13.5" customHeight="1">
      <c r="A946" s="122"/>
      <c r="B946" s="122"/>
      <c r="G946" s="119"/>
    </row>
    <row r="947" spans="1:7" ht="13.5" customHeight="1">
      <c r="A947" s="122"/>
      <c r="B947" s="122"/>
      <c r="G947" s="119"/>
    </row>
    <row r="948" spans="1:7" ht="13.5" customHeight="1">
      <c r="A948" s="122"/>
      <c r="B948" s="122"/>
      <c r="G948" s="119"/>
    </row>
    <row r="949" spans="1:7" ht="13.5" customHeight="1">
      <c r="A949" s="122"/>
      <c r="B949" s="122"/>
      <c r="G949" s="119"/>
    </row>
    <row r="950" spans="1:7" ht="13.5" customHeight="1">
      <c r="A950" s="122"/>
      <c r="B950" s="122"/>
      <c r="G950" s="119"/>
    </row>
    <row r="951" spans="1:7" ht="13.5" customHeight="1">
      <c r="A951" s="122"/>
      <c r="B951" s="122"/>
      <c r="G951" s="119"/>
    </row>
    <row r="952" spans="1:7" ht="13.5" customHeight="1">
      <c r="A952" s="122"/>
      <c r="B952" s="122"/>
      <c r="G952" s="119"/>
    </row>
    <row r="953" spans="1:7" ht="13.5" customHeight="1">
      <c r="A953" s="122"/>
      <c r="B953" s="122"/>
      <c r="G953" s="119"/>
    </row>
    <row r="954" spans="1:7" ht="13.5" customHeight="1">
      <c r="A954" s="122"/>
      <c r="B954" s="122"/>
      <c r="G954" s="119"/>
    </row>
    <row r="955" spans="1:7" ht="13.5" customHeight="1">
      <c r="A955" s="122"/>
      <c r="B955" s="122"/>
      <c r="G955" s="119"/>
    </row>
    <row r="956" spans="1:7" ht="13.5" customHeight="1">
      <c r="A956" s="122"/>
      <c r="B956" s="122"/>
      <c r="G956" s="119"/>
    </row>
    <row r="957" spans="1:7" ht="13.5" customHeight="1">
      <c r="A957" s="122"/>
      <c r="B957" s="122"/>
      <c r="G957" s="119"/>
    </row>
    <row r="958" spans="1:7" ht="13.5" customHeight="1">
      <c r="A958" s="122"/>
      <c r="B958" s="122"/>
      <c r="G958" s="119"/>
    </row>
    <row r="959" spans="1:7" ht="13.5" customHeight="1">
      <c r="A959" s="122"/>
      <c r="B959" s="122"/>
      <c r="G959" s="119"/>
    </row>
    <row r="960" spans="1:7" ht="13.5" customHeight="1">
      <c r="A960" s="122"/>
      <c r="B960" s="122"/>
      <c r="G960" s="119"/>
    </row>
    <row r="961" spans="1:7" ht="13.5" customHeight="1">
      <c r="A961" s="122"/>
      <c r="B961" s="122"/>
      <c r="G961" s="119"/>
    </row>
    <row r="962" spans="1:7" ht="13.5" customHeight="1">
      <c r="A962" s="122"/>
      <c r="B962" s="122"/>
      <c r="G962" s="119"/>
    </row>
    <row r="963" spans="1:7" ht="13.5" customHeight="1">
      <c r="A963" s="122"/>
      <c r="B963" s="122"/>
      <c r="G963" s="119"/>
    </row>
    <row r="964" spans="1:7" ht="13.5" customHeight="1">
      <c r="A964" s="122"/>
      <c r="B964" s="122"/>
      <c r="G964" s="119"/>
    </row>
    <row r="965" spans="1:7" ht="13.5" customHeight="1">
      <c r="A965" s="122"/>
      <c r="B965" s="122"/>
      <c r="G965" s="119"/>
    </row>
    <row r="966" spans="1:7" ht="13.5" customHeight="1">
      <c r="A966" s="122"/>
      <c r="B966" s="122"/>
      <c r="G966" s="119"/>
    </row>
    <row r="967" spans="1:7" ht="13.5" customHeight="1">
      <c r="A967" s="122"/>
      <c r="B967" s="122"/>
      <c r="G967" s="119"/>
    </row>
  </sheetData>
  <pageMargins left="0.69930555555555596" right="0.69930555555555596" top="0.75" bottom="0.75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1A62-0AE4-4EF9-97B5-AB824A0CB492}">
  <sheetPr codeName="Sheet19"/>
  <dimension ref="A1:D64"/>
  <sheetViews>
    <sheetView workbookViewId="0">
      <pane xSplit="2" ySplit="5" topLeftCell="C51" activePane="bottomRight" state="frozen"/>
      <selection activeCell="B10" sqref="B10"/>
      <selection pane="topRight" activeCell="B10" sqref="B10"/>
      <selection pane="bottomLeft" activeCell="B10" sqref="B10"/>
      <selection pane="bottomRight" activeCell="E35" sqref="E35"/>
    </sheetView>
  </sheetViews>
  <sheetFormatPr defaultColWidth="9" defaultRowHeight="13.8"/>
  <cols>
    <col min="1" max="1" width="9" style="250"/>
    <col min="2" max="2" width="12.296875" style="250" customWidth="1"/>
    <col min="3" max="3" width="33.59765625" style="250" customWidth="1"/>
    <col min="4" max="16384" width="9" style="250"/>
  </cols>
  <sheetData>
    <row r="1" spans="1:4">
      <c r="A1" s="249"/>
    </row>
    <row r="2" spans="1:4">
      <c r="A2" s="249" t="s">
        <v>875</v>
      </c>
    </row>
    <row r="5" spans="1:4" s="249" customFormat="1">
      <c r="C5" s="249" t="s">
        <v>920</v>
      </c>
      <c r="D5" s="249" t="s">
        <v>666</v>
      </c>
    </row>
    <row r="6" spans="1:4" s="249" customFormat="1">
      <c r="B6" s="249">
        <v>1</v>
      </c>
      <c r="C6" s="250" t="s">
        <v>916</v>
      </c>
    </row>
    <row r="7" spans="1:4" s="249" customFormat="1">
      <c r="B7" s="249">
        <v>2</v>
      </c>
      <c r="C7" s="250" t="s">
        <v>917</v>
      </c>
    </row>
    <row r="8" spans="1:4" s="249" customFormat="1"/>
    <row r="9" spans="1:4" s="249" customFormat="1"/>
    <row r="10" spans="1:4" s="249" customFormat="1"/>
    <row r="11" spans="1:4">
      <c r="C11" s="250" t="s">
        <v>876</v>
      </c>
    </row>
    <row r="12" spans="1:4">
      <c r="C12" s="250" t="s">
        <v>877</v>
      </c>
    </row>
    <row r="13" spans="1:4">
      <c r="C13" s="250" t="s">
        <v>878</v>
      </c>
    </row>
    <row r="14" spans="1:4">
      <c r="C14" s="250" t="s">
        <v>879</v>
      </c>
    </row>
    <row r="15" spans="1:4">
      <c r="C15" s="250" t="s">
        <v>880</v>
      </c>
      <c r="D15" s="250" t="s">
        <v>881</v>
      </c>
    </row>
    <row r="16" spans="1:4">
      <c r="C16" s="250" t="s">
        <v>882</v>
      </c>
    </row>
    <row r="17" spans="2:4">
      <c r="C17" s="250" t="s">
        <v>883</v>
      </c>
    </row>
    <row r="18" spans="2:4">
      <c r="C18" s="250" t="s">
        <v>884</v>
      </c>
    </row>
    <row r="19" spans="2:4">
      <c r="C19" s="250" t="s">
        <v>885</v>
      </c>
    </row>
    <row r="20" spans="2:4">
      <c r="C20" s="250" t="s">
        <v>886</v>
      </c>
    </row>
    <row r="21" spans="2:4">
      <c r="C21" s="250" t="s">
        <v>887</v>
      </c>
    </row>
    <row r="22" spans="2:4">
      <c r="C22" s="250" t="s">
        <v>888</v>
      </c>
    </row>
    <row r="23" spans="2:4">
      <c r="C23" s="250" t="s">
        <v>889</v>
      </c>
    </row>
    <row r="24" spans="2:4">
      <c r="C24" s="250" t="s">
        <v>890</v>
      </c>
    </row>
    <row r="25" spans="2:4">
      <c r="C25" s="250" t="s">
        <v>891</v>
      </c>
    </row>
    <row r="26" spans="2:4">
      <c r="C26" s="250" t="s">
        <v>892</v>
      </c>
    </row>
    <row r="27" spans="2:4">
      <c r="C27" s="250" t="s">
        <v>893</v>
      </c>
    </row>
    <row r="28" spans="2:4">
      <c r="C28" s="250" t="s">
        <v>894</v>
      </c>
    </row>
    <row r="31" spans="2:4">
      <c r="B31" s="249" t="s">
        <v>675</v>
      </c>
      <c r="C31" s="249" t="s">
        <v>902</v>
      </c>
      <c r="D31" s="249" t="s">
        <v>904</v>
      </c>
    </row>
    <row r="32" spans="2:4">
      <c r="B32" s="250">
        <v>10</v>
      </c>
      <c r="C32" s="250" t="s">
        <v>317</v>
      </c>
      <c r="D32" s="250" t="s">
        <v>406</v>
      </c>
    </row>
    <row r="33" spans="2:4">
      <c r="B33" s="250">
        <v>20</v>
      </c>
      <c r="C33" s="250" t="s">
        <v>409</v>
      </c>
      <c r="D33" s="250" t="s">
        <v>905</v>
      </c>
    </row>
    <row r="34" spans="2:4">
      <c r="B34" s="250">
        <v>30</v>
      </c>
      <c r="C34" s="250" t="s">
        <v>478</v>
      </c>
      <c r="D34" s="250" t="s">
        <v>906</v>
      </c>
    </row>
    <row r="35" spans="2:4">
      <c r="B35" s="250">
        <v>40</v>
      </c>
      <c r="C35" s="250" t="s">
        <v>467</v>
      </c>
      <c r="D35" s="250" t="s">
        <v>907</v>
      </c>
    </row>
    <row r="36" spans="2:4">
      <c r="B36" s="250">
        <v>50</v>
      </c>
      <c r="C36" s="250" t="s">
        <v>336</v>
      </c>
      <c r="D36" s="250" t="s">
        <v>908</v>
      </c>
    </row>
    <row r="37" spans="2:4">
      <c r="B37" s="250">
        <v>60</v>
      </c>
      <c r="C37" s="250" t="s">
        <v>903</v>
      </c>
      <c r="D37" s="250" t="s">
        <v>909</v>
      </c>
    </row>
    <row r="46" spans="2:4">
      <c r="B46" s="249" t="s">
        <v>676</v>
      </c>
      <c r="C46" s="249" t="s">
        <v>895</v>
      </c>
    </row>
    <row r="47" spans="2:4">
      <c r="B47" s="250">
        <v>1000</v>
      </c>
      <c r="C47" s="250" t="s">
        <v>876</v>
      </c>
    </row>
    <row r="48" spans="2:4">
      <c r="B48" s="250">
        <v>1001</v>
      </c>
      <c r="C48" s="250" t="s">
        <v>896</v>
      </c>
    </row>
    <row r="49" spans="2:3">
      <c r="B49" s="250">
        <v>1002</v>
      </c>
      <c r="C49" s="250" t="s">
        <v>897</v>
      </c>
    </row>
    <row r="50" spans="2:3">
      <c r="B50" s="250">
        <v>1003</v>
      </c>
      <c r="C50" s="250" t="s">
        <v>882</v>
      </c>
    </row>
    <row r="51" spans="2:3">
      <c r="B51" s="250">
        <v>1004</v>
      </c>
      <c r="C51" s="250" t="s">
        <v>883</v>
      </c>
    </row>
    <row r="52" spans="2:3">
      <c r="B52" s="250">
        <v>1005</v>
      </c>
      <c r="C52" s="250" t="s">
        <v>884</v>
      </c>
    </row>
    <row r="53" spans="2:3">
      <c r="B53" s="250">
        <v>1006</v>
      </c>
      <c r="C53" s="250" t="s">
        <v>885</v>
      </c>
    </row>
    <row r="54" spans="2:3">
      <c r="B54" s="250">
        <v>1007</v>
      </c>
      <c r="C54" s="250" t="s">
        <v>886</v>
      </c>
    </row>
    <row r="55" spans="2:3">
      <c r="B55" s="250">
        <v>1008</v>
      </c>
      <c r="C55" s="250" t="s">
        <v>887</v>
      </c>
    </row>
    <row r="56" spans="2:3">
      <c r="B56" s="250">
        <v>1009</v>
      </c>
      <c r="C56" s="250" t="s">
        <v>898</v>
      </c>
    </row>
    <row r="57" spans="2:3">
      <c r="B57" s="250">
        <v>1010</v>
      </c>
      <c r="C57" s="250" t="s">
        <v>890</v>
      </c>
    </row>
    <row r="58" spans="2:3">
      <c r="B58" s="250">
        <v>1011</v>
      </c>
      <c r="C58" s="250" t="s">
        <v>891</v>
      </c>
    </row>
    <row r="59" spans="2:3">
      <c r="B59" s="250">
        <v>1012</v>
      </c>
      <c r="C59" s="250" t="s">
        <v>892</v>
      </c>
    </row>
    <row r="60" spans="2:3">
      <c r="B60" s="250">
        <v>1014</v>
      </c>
      <c r="C60" s="250" t="s">
        <v>893</v>
      </c>
    </row>
    <row r="61" spans="2:3">
      <c r="B61" s="250">
        <v>1020</v>
      </c>
      <c r="C61" s="250" t="s">
        <v>894</v>
      </c>
    </row>
    <row r="62" spans="2:3">
      <c r="B62" s="250">
        <v>1100</v>
      </c>
      <c r="C62" s="250" t="s">
        <v>899</v>
      </c>
    </row>
    <row r="63" spans="2:3">
      <c r="B63" s="250">
        <v>1101</v>
      </c>
      <c r="C63" s="250" t="s">
        <v>900</v>
      </c>
    </row>
    <row r="64" spans="2:3">
      <c r="B64" s="250">
        <v>1102</v>
      </c>
      <c r="C64" s="250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Chart</vt:lpstr>
      <vt:lpstr>Seg 1_Công ty</vt:lpstr>
      <vt:lpstr>Seg 2_Account</vt:lpstr>
      <vt:lpstr>Seg 2 TK Ngoại bảng</vt:lpstr>
      <vt:lpstr>Seg 3 - Sub Acc</vt:lpstr>
      <vt:lpstr>Seg 4_Cost center-DeptSite1</vt:lpstr>
      <vt:lpstr>Seg 6_Khu vực</vt:lpstr>
      <vt:lpstr>Seg 4_Location</vt:lpstr>
      <vt:lpstr>Seg 4_Cost center-SiteDept</vt:lpstr>
      <vt:lpstr>Bank R</vt:lpstr>
      <vt:lpstr>Bo phan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Nhu Le</dc:creator>
  <cp:lastModifiedBy>Bui Thi Ngoc  Thuy</cp:lastModifiedBy>
  <dcterms:created xsi:type="dcterms:W3CDTF">2013-10-17T07:03:00Z</dcterms:created>
  <dcterms:modified xsi:type="dcterms:W3CDTF">2025-12-19T03:05:43Z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1033-3.1.2.5330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ContentTypeId">
    <vt:lpwstr>0x01010093EDAE90CDB2C042A65FC0295D5BE5B6</vt:lpwstr>
  </property>
</Properties>
</file>