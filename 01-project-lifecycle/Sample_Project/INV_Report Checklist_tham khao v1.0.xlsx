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. ARON TRAINING\Đại Thuận\TG2 - Requirements\BR150\Report List\"/>
    </mc:Choice>
  </mc:AlternateContent>
  <xr:revisionPtr revIDLastSave="0" documentId="13_ncr:1_{0FE819BF-8AB9-439E-A564-B9C0BA8E8E0E}" xr6:coauthVersionLast="47" xr6:coauthVersionMax="47" xr10:uidLastSave="{00000000-0000-0000-0000-000000000000}"/>
  <bookViews>
    <workbookView xWindow="-108" yWindow="-108" windowWidth="23256" windowHeight="12576" tabRatio="786" xr2:uid="{00000000-000D-0000-FFFF-FFFF00000000}"/>
  </bookViews>
  <sheets>
    <sheet name="Menu" sheetId="1" r:id="rId1"/>
    <sheet name="PN" sheetId="38" r:id="rId2"/>
    <sheet name="PX" sheetId="39" r:id="rId3"/>
    <sheet name="PC" sheetId="40" r:id="rId4"/>
    <sheet name="INV01" sheetId="4" r:id="rId5"/>
  </sheets>
  <calcPr calcId="181029"/>
</workbook>
</file>

<file path=xl/calcChain.xml><?xml version="1.0" encoding="utf-8"?>
<calcChain xmlns="http://schemas.openxmlformats.org/spreadsheetml/2006/main">
  <c r="H16" i="40" l="1"/>
  <c r="G16" i="40"/>
  <c r="I19" i="39"/>
  <c r="I19" i="38"/>
  <c r="I18" i="39"/>
  <c r="I17" i="39"/>
  <c r="I18" i="38"/>
  <c r="I17" i="38"/>
</calcChain>
</file>

<file path=xl/sharedStrings.xml><?xml version="1.0" encoding="utf-8"?>
<sst xmlns="http://schemas.openxmlformats.org/spreadsheetml/2006/main" count="249" uniqueCount="141">
  <si>
    <t>STT</t>
  </si>
  <si>
    <t>Phân Hệ</t>
  </si>
  <si>
    <t>Danh sách các Báo cáo, Chứng từ</t>
  </si>
  <si>
    <t>MENU</t>
  </si>
  <si>
    <t>Tên Báo Cáo, Chứng từ</t>
  </si>
  <si>
    <t>Diễn giải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</si>
  <si>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</si>
  <si>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</si>
  <si>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</si>
  <si>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</si>
  <si>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</si>
  <si>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</si>
  <si>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</si>
  <si>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</si>
  <si>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</si>
  <si>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</si>
  <si>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</si>
  <si>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</si>
  <si>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</t>
  </si>
  <si>
    <t>Phân nhóm</t>
  </si>
  <si>
    <t>Mã Hàng</t>
  </si>
  <si>
    <t>Tên Hàng</t>
  </si>
  <si>
    <t>ĐVT</t>
  </si>
  <si>
    <t>Số Đầu Kỳ</t>
  </si>
  <si>
    <t>Nhập Trong Kỳ</t>
  </si>
  <si>
    <t>Xuất Trong Kỳ</t>
  </si>
  <si>
    <t>Tồn Cuối Kỳ</t>
  </si>
  <si>
    <t>PMAC</t>
  </si>
  <si>
    <t>Số lượng</t>
  </si>
  <si>
    <t>Giá Trị</t>
  </si>
  <si>
    <t>Số Lượng</t>
  </si>
  <si>
    <t>Item Cost</t>
  </si>
  <si>
    <t>Giá trị</t>
  </si>
  <si>
    <t>Chênh Lệch</t>
  </si>
  <si>
    <t>(12)=(6)+(8)-(10)</t>
  </si>
  <si>
    <t>(13)=(7)+(9)-11</t>
  </si>
  <si>
    <t>(14)</t>
  </si>
  <si>
    <t>(15)=(12)*(14)</t>
  </si>
  <si>
    <t>(16)=((13)-(15)</t>
  </si>
  <si>
    <t>BÁO CÁO NHẬP XUẤT TỒN GIÁ TRỊ</t>
  </si>
  <si>
    <t>2</t>
  </si>
  <si>
    <t xml:space="preserve">Báo cáo theo dõi chi tiết giá trị của từng mặt hàng đầu kỳ, trong kỳ và cuối kỳ </t>
  </si>
  <si>
    <t xml:space="preserve">Báo cáo theo dõi chi tiết tất cả nghiệp vụ nhập xuất chuyển trong kỳ </t>
  </si>
  <si>
    <t xml:space="preserve">Báo cáo theo dõi chi tiết số lượng của từng mặt hàng đầu kỳ, trong kỳ và cuối kỳ </t>
  </si>
  <si>
    <t>Ngày</t>
  </si>
  <si>
    <t>Tài khoản: 152101 - HÀNG HÓA</t>
  </si>
  <si>
    <t>Mã hàng</t>
  </si>
  <si>
    <t>Tên hàng</t>
  </si>
  <si>
    <t xml:space="preserve">Báo cáo theo dõi khoản mục chi phí cho từng mặt hàng </t>
  </si>
  <si>
    <t xml:space="preserve">Báo cáo theo dõi chi tiết từng giao dịch kho </t>
  </si>
  <si>
    <t>INV</t>
  </si>
  <si>
    <t>INV_03_BC_BaoCaoNhapXuatTonSoLuong</t>
  </si>
  <si>
    <t>INV_01_BC_ChiTietNhapXuatTonGiaTri</t>
  </si>
  <si>
    <t>INV_02_BC_BaoCaoChiTietNhapXuat</t>
  </si>
  <si>
    <t>INV_04_BC_BaoCaoKhoanMucItemCost</t>
  </si>
  <si>
    <t>INV_05_BC_BaoCaoChiTietGiaoDichKho</t>
  </si>
  <si>
    <t>INV_06_BC_BaoCaoDanhMucItem</t>
  </si>
  <si>
    <t>INV_08_BC_BaoCaoTuoiTonKho</t>
  </si>
  <si>
    <t>Báo cáo theo dõi số lượng tồn kho hiện có trong kho</t>
  </si>
  <si>
    <t>Báo cáo theo dỗi tuổi tồn kho</t>
  </si>
  <si>
    <t>Bảo cáo theo dỗi chi tiết các nghiệp vụ chuyển kho trong kỳ</t>
  </si>
  <si>
    <t>Báo cáo theo dõi danh mục tất cả mặt hàng có trong kho</t>
  </si>
  <si>
    <t>INV_07_BC_BaoCaoTonKho</t>
  </si>
  <si>
    <t>INV_09_BC_BaoCaoChuyenKho</t>
  </si>
  <si>
    <t>Org:</t>
  </si>
  <si>
    <t>81.10.100</t>
  </si>
  <si>
    <t>81.11.100</t>
  </si>
  <si>
    <t>82.10.101</t>
  </si>
  <si>
    <t>83.12.100</t>
  </si>
  <si>
    <t>83.12.101</t>
  </si>
  <si>
    <t>Tổng</t>
  </si>
  <si>
    <t>HCM</t>
  </si>
  <si>
    <t>PHIẾU NHẬP KHO</t>
  </si>
  <si>
    <t>Loại giao dịch:</t>
  </si>
  <si>
    <t>Nhập kho mua hàng</t>
  </si>
  <si>
    <t>Số phiếu:</t>
  </si>
  <si>
    <t>PN.MH.100.2200.0001</t>
  </si>
  <si>
    <t>Nhận từ:</t>
  </si>
  <si>
    <t>10000 - CÔNG TY TNHH ABC</t>
  </si>
  <si>
    <t>Nhập kho PO</t>
  </si>
  <si>
    <t>Số PO:</t>
  </si>
  <si>
    <t>Số Release:</t>
  </si>
  <si>
    <t>Số Receipt:</t>
  </si>
  <si>
    <t>Phòng ban:</t>
  </si>
  <si>
    <t>Mua hàng</t>
  </si>
  <si>
    <t>Số lượng yêu cầu</t>
  </si>
  <si>
    <t>Số lượng thực nhập</t>
  </si>
  <si>
    <t>Đơn giá</t>
  </si>
  <si>
    <t>Thành tiền</t>
  </si>
  <si>
    <t>Kho nhận</t>
  </si>
  <si>
    <t>Tổng cộng:</t>
  </si>
  <si>
    <t>Người lập phiếu</t>
  </si>
  <si>
    <t>Người giao hàng</t>
  </si>
  <si>
    <t>(Ký, ghi họ tên)</t>
  </si>
  <si>
    <t>Người kiểm duyệt</t>
  </si>
  <si>
    <t>Kế toán trưởng</t>
  </si>
  <si>
    <t xml:space="preserve">    Thủ kho</t>
  </si>
  <si>
    <t>Nội dung:</t>
  </si>
  <si>
    <t>PHIẾU XUẤT KHO</t>
  </si>
  <si>
    <t>Trả hàng nhà cung cấp</t>
  </si>
  <si>
    <t>Xuất cho:</t>
  </si>
  <si>
    <t>Xuất hàng</t>
  </si>
  <si>
    <t>Shipment number:</t>
  </si>
  <si>
    <t>Kho xuất</t>
  </si>
  <si>
    <t>PHIẾU CHUYỂN KHO</t>
  </si>
  <si>
    <t>Kho xuất:</t>
  </si>
  <si>
    <t>Kho nhận:</t>
  </si>
  <si>
    <t>Chuyển hàng</t>
  </si>
  <si>
    <t>PC.CS.100.2200.0001</t>
  </si>
  <si>
    <t>Số Phiếu:</t>
  </si>
  <si>
    <t>Lô</t>
  </si>
  <si>
    <t>Số lượng thực nhận</t>
  </si>
  <si>
    <t>VN0001</t>
  </si>
  <si>
    <t>VN0002</t>
  </si>
  <si>
    <t>Locator</t>
  </si>
  <si>
    <t>INV_01_CT_PhieuNhap</t>
  </si>
  <si>
    <t>INV_01_CT_PhieuXuat</t>
  </si>
  <si>
    <t>INV_01_CT_PhieuChuyen</t>
  </si>
  <si>
    <t>Chứng từ chi thiết thông tin nhập kho</t>
  </si>
  <si>
    <t>Chứng từ chi thiết thông tin xuất kho</t>
  </si>
  <si>
    <t>Chứng từ chi thiết thông tin chuyển kho</t>
  </si>
  <si>
    <t>DPP</t>
  </si>
  <si>
    <t>Phô mai Ammerlander Adamer Gouda (3kg)</t>
  </si>
  <si>
    <t>Phô mai con bò cười (360 gram)</t>
  </si>
  <si>
    <t>Q4</t>
  </si>
  <si>
    <t>Ngày 20 tháng 08 năm 2024</t>
  </si>
  <si>
    <t>HCM-Q4</t>
  </si>
  <si>
    <t>HCM-LA</t>
  </si>
  <si>
    <t>Từ kỳ: 06.2024  -  Đến kỳ: 07.2024</t>
  </si>
  <si>
    <t>Phô mai kem</t>
  </si>
  <si>
    <t>Sữa đậu nành hạnh nhân Soy Milk Almonds (200ml)</t>
  </si>
  <si>
    <t>Mực tầm tẩm gia vị (40gram/hộp)</t>
  </si>
  <si>
    <t>Chả giò đặc sản biển (500gram/gói)</t>
  </si>
  <si>
    <t>Hải sản khô tẩm</t>
  </si>
  <si>
    <t>CHAI</t>
  </si>
  <si>
    <t>HOP</t>
  </si>
  <si>
    <t>GOI</t>
  </si>
  <si>
    <t>KG</t>
  </si>
  <si>
    <t>GRAM</t>
  </si>
  <si>
    <t>Sữa/Café</t>
  </si>
  <si>
    <t xml:space="preserve">Cost Org: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</si>
</sst>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4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ahoma"/>
      <family val="2"/>
    </font>
    <font>
      <sz val="11"/>
      <color theme="1"/>
      <name val="Calibri"/>
      <family val="2"/>
    </font>
    <font>
      <b/>
      <sz val="9"/>
      <color theme="1"/>
      <name val="Times New Roman"/>
      <family val="1"/>
    </font>
    <font>
      <sz val="9"/>
      <color rgb="FF800000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7"/>
      <name val="Times New Roman"/>
      <family val="1"/>
    </font>
    <font>
      <b/>
      <sz val="10"/>
      <color theme="1"/>
      <name val="Calibri Light"/>
      <family val="1"/>
      <charset val="163"/>
      <scheme val="major"/>
    </font>
    <font>
      <sz val="10"/>
      <color theme="1"/>
      <name val="Times New Roman"/>
      <family val="1"/>
      <charset val="163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</font>
    <font>
      <b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i/>
      <sz val="10"/>
      <color theme="1"/>
      <name val="Times New Roman"/>
      <family val="1"/>
      <charset val="163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9899"/>
        <bgColor indexed="64"/>
      </patternFill>
    </fill>
    <fill>
      <patternFill patternType="solid">
        <fgColor rgb="FFC01622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2" applyNumberFormat="0" applyAlignment="0" applyProtection="0"/>
    <xf numFmtId="0" fontId="11" fillId="28" borderId="3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21" fillId="0" borderId="0"/>
    <xf numFmtId="0" fontId="6" fillId="0" borderId="0">
      <alignment vertical="top"/>
    </xf>
    <xf numFmtId="0" fontId="7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1" fillId="0" borderId="0"/>
    <xf numFmtId="0" fontId="7" fillId="0" borderId="0"/>
    <xf numFmtId="0" fontId="36" fillId="33" borderId="1" applyAlignment="0">
      <alignment horizontal="center" vertical="center" wrapText="1"/>
    </xf>
    <xf numFmtId="0" fontId="36" fillId="34" borderId="1" applyBorder="0" applyAlignment="0">
      <alignment horizontal="center" vertical="center" wrapText="1"/>
    </xf>
    <xf numFmtId="0" fontId="37" fillId="35" borderId="18"/>
    <xf numFmtId="0" fontId="38" fillId="0" borderId="0"/>
    <xf numFmtId="43" fontId="7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vertical="center" wrapText="1"/>
    </xf>
    <xf numFmtId="0" fontId="27" fillId="0" borderId="0" xfId="34" applyFont="1" applyFill="1" applyBorder="1" applyAlignment="1">
      <alignment horizontal="left"/>
    </xf>
    <xf numFmtId="0" fontId="26" fillId="0" borderId="0" xfId="0" applyFont="1"/>
    <xf numFmtId="0" fontId="29" fillId="0" borderId="1" xfId="0" applyFont="1" applyBorder="1" applyAlignment="1">
      <alignment horizontal="left" vertical="center"/>
    </xf>
    <xf numFmtId="0" fontId="28" fillId="0" borderId="0" xfId="0" applyFont="1"/>
    <xf numFmtId="0" fontId="1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49" fontId="26" fillId="0" borderId="0" xfId="0" applyNumberFormat="1" applyFont="1"/>
    <xf numFmtId="0" fontId="38" fillId="0" borderId="0" xfId="50"/>
    <xf numFmtId="3" fontId="40" fillId="0" borderId="16" xfId="50" applyNumberFormat="1" applyFont="1" applyBorder="1" applyAlignment="1">
      <alignment horizontal="center" vertical="center" wrapText="1"/>
    </xf>
    <xf numFmtId="4" fontId="41" fillId="0" borderId="16" xfId="50" applyNumberFormat="1" applyFont="1" applyBorder="1" applyAlignment="1">
      <alignment horizontal="right" vertical="center" wrapText="1"/>
    </xf>
    <xf numFmtId="3" fontId="41" fillId="0" borderId="16" xfId="50" applyNumberFormat="1" applyFont="1" applyBorder="1" applyAlignment="1">
      <alignment horizontal="right" vertical="center" wrapText="1"/>
    </xf>
    <xf numFmtId="0" fontId="38" fillId="0" borderId="16" xfId="50" applyBorder="1" applyAlignment="1">
      <alignment vertical="center" wrapText="1"/>
    </xf>
    <xf numFmtId="0" fontId="32" fillId="0" borderId="0" xfId="38" applyFont="1" applyAlignment="1">
      <alignment horizontal="left" vertical="center" wrapText="1"/>
    </xf>
    <xf numFmtId="0" fontId="31" fillId="0" borderId="0" xfId="38" applyFont="1" applyAlignment="1">
      <alignment vertical="center" wrapText="1"/>
    </xf>
    <xf numFmtId="0" fontId="21" fillId="0" borderId="0" xfId="38"/>
    <xf numFmtId="0" fontId="21" fillId="0" borderId="0" xfId="38" applyAlignment="1">
      <alignment horizontal="left" vertical="center" wrapText="1"/>
    </xf>
    <xf numFmtId="0" fontId="31" fillId="0" borderId="0" xfId="38" applyFont="1" applyAlignment="1">
      <alignment horizontal="left" vertical="center" wrapText="1"/>
    </xf>
    <xf numFmtId="0" fontId="21" fillId="0" borderId="17" xfId="38" applyBorder="1" applyAlignment="1">
      <alignment horizontal="left" vertical="center" wrapText="1"/>
    </xf>
    <xf numFmtId="0" fontId="31" fillId="0" borderId="16" xfId="38" applyFont="1" applyBorder="1" applyAlignment="1">
      <alignment horizontal="center" vertical="center" wrapText="1"/>
    </xf>
    <xf numFmtId="0" fontId="33" fillId="0" borderId="16" xfId="50" applyFont="1" applyBorder="1" applyAlignment="1">
      <alignment horizontal="left" vertical="center"/>
    </xf>
    <xf numFmtId="0" fontId="33" fillId="0" borderId="16" xfId="5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3" fillId="36" borderId="1" xfId="0" applyFont="1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left" vertical="center" wrapText="1"/>
    </xf>
    <xf numFmtId="0" fontId="44" fillId="36" borderId="16" xfId="50" applyFont="1" applyFill="1" applyBorder="1" applyAlignment="1">
      <alignment horizontal="center" vertical="center" wrapText="1"/>
    </xf>
    <xf numFmtId="0" fontId="44" fillId="36" borderId="16" xfId="50" applyFont="1" applyFill="1" applyBorder="1" applyAlignment="1">
      <alignment horizontal="center" vertical="top" wrapText="1"/>
    </xf>
    <xf numFmtId="0" fontId="45" fillId="36" borderId="16" xfId="50" applyFont="1" applyFill="1" applyBorder="1" applyAlignment="1">
      <alignment horizontal="center" vertical="center" wrapText="1"/>
    </xf>
    <xf numFmtId="0" fontId="31" fillId="0" borderId="0" xfId="38" applyFont="1" applyAlignment="1">
      <alignment vertical="center"/>
    </xf>
    <xf numFmtId="0" fontId="44" fillId="36" borderId="1" xfId="38" applyFont="1" applyFill="1" applyBorder="1" applyAlignment="1">
      <alignment horizontal="center" vertical="center" wrapText="1"/>
    </xf>
    <xf numFmtId="0" fontId="35" fillId="0" borderId="0" xfId="38" applyFont="1" applyAlignment="1">
      <alignment horizontal="center" vertical="center" wrapText="1"/>
    </xf>
    <xf numFmtId="0" fontId="26" fillId="0" borderId="0" xfId="50" applyFont="1" applyAlignment="1">
      <alignment vertical="center"/>
    </xf>
    <xf numFmtId="0" fontId="28" fillId="0" borderId="0" xfId="50" applyFont="1" applyAlignment="1">
      <alignment vertical="center"/>
    </xf>
    <xf numFmtId="0" fontId="32" fillId="0" borderId="0" xfId="38" applyFont="1" applyAlignment="1">
      <alignment vertical="center"/>
    </xf>
    <xf numFmtId="0" fontId="38" fillId="37" borderId="12" xfId="50" applyFill="1" applyBorder="1" applyAlignment="1">
      <alignment vertical="center" wrapText="1"/>
    </xf>
    <xf numFmtId="0" fontId="38" fillId="37" borderId="14" xfId="50" applyFill="1" applyBorder="1" applyAlignment="1">
      <alignment horizontal="center" vertical="center" wrapText="1"/>
    </xf>
    <xf numFmtId="4" fontId="39" fillId="37" borderId="16" xfId="50" applyNumberFormat="1" applyFont="1" applyFill="1" applyBorder="1" applyAlignment="1">
      <alignment horizontal="right" vertical="center" wrapText="1"/>
    </xf>
    <xf numFmtId="3" fontId="39" fillId="37" borderId="16" xfId="50" applyNumberFormat="1" applyFont="1" applyFill="1" applyBorder="1" applyAlignment="1">
      <alignment horizontal="right" vertical="center" wrapText="1"/>
    </xf>
    <xf numFmtId="0" fontId="38" fillId="37" borderId="16" xfId="50" applyFill="1" applyBorder="1" applyAlignment="1">
      <alignment horizontal="center" vertical="center" wrapText="1"/>
    </xf>
    <xf numFmtId="14" fontId="31" fillId="0" borderId="0" xfId="38" applyNumberFormat="1" applyFont="1" applyAlignment="1">
      <alignment horizontal="left" vertical="center" wrapText="1"/>
    </xf>
    <xf numFmtId="0" fontId="48" fillId="0" borderId="1" xfId="50" applyFont="1" applyBorder="1" applyAlignment="1">
      <alignment horizontal="left" vertical="center" wrapText="1"/>
    </xf>
    <xf numFmtId="0" fontId="48" fillId="0" borderId="1" xfId="50" applyFont="1" applyBorder="1" applyAlignment="1">
      <alignment horizontal="right" vertical="center" wrapText="1"/>
    </xf>
    <xf numFmtId="0" fontId="48" fillId="0" borderId="16" xfId="38" applyFont="1" applyBorder="1" applyAlignment="1">
      <alignment horizontal="center" vertical="center" wrapText="1"/>
    </xf>
    <xf numFmtId="1" fontId="48" fillId="0" borderId="16" xfId="38" applyNumberFormat="1" applyFont="1" applyBorder="1" applyAlignment="1">
      <alignment vertical="center" wrapText="1"/>
    </xf>
    <xf numFmtId="0" fontId="49" fillId="0" borderId="0" xfId="38" applyFont="1" applyAlignment="1">
      <alignment horizontal="left" vertical="center" wrapText="1"/>
    </xf>
    <xf numFmtId="0" fontId="50" fillId="0" borderId="0" xfId="38" applyFont="1" applyAlignment="1">
      <alignment horizontal="left" vertical="center" wrapText="1"/>
    </xf>
    <xf numFmtId="0" fontId="31" fillId="0" borderId="0" xfId="38" quotePrefix="1" applyFont="1" applyAlignment="1">
      <alignment horizontal="left" vertical="center" wrapText="1"/>
    </xf>
    <xf numFmtId="0" fontId="51" fillId="0" borderId="0" xfId="0" applyFont="1"/>
    <xf numFmtId="0" fontId="31" fillId="0" borderId="0" xfId="0" applyFont="1"/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44" fillId="36" borderId="16" xfId="38" applyFont="1" applyFill="1" applyBorder="1" applyAlignment="1">
      <alignment horizontal="center" vertical="center" wrapText="1"/>
    </xf>
    <xf numFmtId="1" fontId="48" fillId="0" borderId="16" xfId="38" applyNumberFormat="1" applyFont="1" applyBorder="1" applyAlignment="1">
      <alignment horizontal="left" vertical="center" wrapText="1"/>
    </xf>
    <xf numFmtId="0" fontId="31" fillId="0" borderId="11" xfId="38" applyFont="1" applyBorder="1" applyAlignment="1">
      <alignment horizontal="center" vertical="center" wrapText="1"/>
    </xf>
    <xf numFmtId="0" fontId="48" fillId="0" borderId="11" xfId="38" applyFont="1" applyBorder="1" applyAlignment="1">
      <alignment horizontal="center" vertical="center" wrapText="1"/>
    </xf>
    <xf numFmtId="0" fontId="48" fillId="0" borderId="11" xfId="50" applyFont="1" applyBorder="1" applyAlignment="1">
      <alignment horizontal="left" vertical="center" wrapText="1"/>
    </xf>
    <xf numFmtId="0" fontId="48" fillId="0" borderId="21" xfId="50" applyFont="1" applyBorder="1" applyAlignment="1">
      <alignment horizontal="left" vertical="center" wrapText="1"/>
    </xf>
    <xf numFmtId="0" fontId="48" fillId="0" borderId="21" xfId="50" applyFont="1" applyBorder="1" applyAlignment="1">
      <alignment horizontal="right" vertical="center" wrapText="1"/>
    </xf>
    <xf numFmtId="165" fontId="48" fillId="0" borderId="16" xfId="51" applyNumberFormat="1" applyFont="1" applyBorder="1" applyAlignment="1">
      <alignment horizontal="center" vertical="center" wrapText="1"/>
    </xf>
    <xf numFmtId="165" fontId="48" fillId="0" borderId="11" xfId="51" applyNumberFormat="1" applyFont="1" applyBorder="1" applyAlignment="1">
      <alignment horizontal="center" vertical="center" wrapText="1"/>
    </xf>
    <xf numFmtId="165" fontId="48" fillId="0" borderId="16" xfId="50" applyNumberFormat="1" applyFont="1" applyBorder="1" applyAlignment="1">
      <alignment horizontal="left" vertical="center" wrapText="1"/>
    </xf>
    <xf numFmtId="165" fontId="46" fillId="0" borderId="14" xfId="51" applyNumberFormat="1" applyFont="1" applyBorder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47" fillId="0" borderId="0" xfId="38" applyFont="1" applyAlignment="1">
      <alignment horizontal="left" vertical="center"/>
    </xf>
    <xf numFmtId="0" fontId="50" fillId="0" borderId="0" xfId="0" applyFont="1"/>
    <xf numFmtId="0" fontId="50" fillId="0" borderId="1" xfId="38" applyFont="1" applyBorder="1" applyAlignment="1">
      <alignment vertical="center" wrapText="1"/>
    </xf>
    <xf numFmtId="0" fontId="31" fillId="0" borderId="1" xfId="38" applyFont="1" applyBorder="1" applyAlignment="1">
      <alignment horizontal="center" vertical="center" wrapText="1"/>
    </xf>
    <xf numFmtId="0" fontId="48" fillId="0" borderId="1" xfId="38" applyFont="1" applyBorder="1" applyAlignment="1">
      <alignment horizontal="center" vertical="center" wrapText="1"/>
    </xf>
    <xf numFmtId="165" fontId="48" fillId="0" borderId="1" xfId="51" applyNumberFormat="1" applyFont="1" applyBorder="1" applyAlignment="1">
      <alignment horizontal="center" vertical="center" wrapText="1"/>
    </xf>
    <xf numFmtId="0" fontId="26" fillId="0" borderId="0" xfId="38" applyFont="1" applyAlignment="1">
      <alignment horizontal="center" vertical="center" wrapText="1"/>
    </xf>
    <xf numFmtId="0" fontId="44" fillId="36" borderId="14" xfId="38" applyFont="1" applyFill="1" applyBorder="1" applyAlignment="1">
      <alignment horizontal="center" vertical="center" wrapText="1"/>
    </xf>
    <xf numFmtId="0" fontId="48" fillId="0" borderId="25" xfId="38" applyFont="1" applyBorder="1" applyAlignment="1">
      <alignment horizontal="center" vertical="center" wrapText="1"/>
    </xf>
    <xf numFmtId="165" fontId="48" fillId="0" borderId="14" xfId="50" applyNumberFormat="1" applyFont="1" applyBorder="1" applyAlignment="1">
      <alignment horizontal="left" vertical="center" wrapText="1"/>
    </xf>
    <xf numFmtId="0" fontId="31" fillId="0" borderId="20" xfId="0" applyFont="1" applyBorder="1" applyAlignment="1">
      <alignment vertical="center" wrapText="1"/>
    </xf>
    <xf numFmtId="0" fontId="33" fillId="0" borderId="16" xfId="5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51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21" fillId="0" borderId="0" xfId="38" applyAlignment="1">
      <alignment horizontal="left" vertical="center" wrapText="1"/>
    </xf>
    <xf numFmtId="0" fontId="30" fillId="0" borderId="0" xfId="38" applyFont="1" applyAlignment="1">
      <alignment horizontal="center" vertical="center" wrapText="1"/>
    </xf>
    <xf numFmtId="0" fontId="50" fillId="0" borderId="26" xfId="38" applyFont="1" applyBorder="1" applyAlignment="1">
      <alignment horizontal="left" vertical="center" wrapText="1"/>
    </xf>
    <xf numFmtId="0" fontId="50" fillId="0" borderId="19" xfId="38" applyFont="1" applyBorder="1" applyAlignment="1">
      <alignment horizontal="left" vertical="center" wrapText="1"/>
    </xf>
    <xf numFmtId="0" fontId="50" fillId="0" borderId="27" xfId="38" applyFont="1" applyBorder="1" applyAlignment="1">
      <alignment horizontal="left" vertical="center" wrapText="1"/>
    </xf>
    <xf numFmtId="0" fontId="26" fillId="0" borderId="0" xfId="38" applyFont="1" applyAlignment="1">
      <alignment horizontal="center" vertical="center" wrapText="1"/>
    </xf>
    <xf numFmtId="0" fontId="32" fillId="0" borderId="0" xfId="38" applyFont="1" applyAlignment="1">
      <alignment horizontal="left" vertical="center" wrapText="1"/>
    </xf>
    <xf numFmtId="0" fontId="31" fillId="0" borderId="0" xfId="38" applyFont="1" applyAlignment="1">
      <alignment horizontal="left" vertical="center" wrapText="1"/>
    </xf>
    <xf numFmtId="0" fontId="50" fillId="0" borderId="1" xfId="38" applyFont="1" applyBorder="1" applyAlignment="1">
      <alignment horizontal="right" vertical="center" wrapText="1"/>
    </xf>
    <xf numFmtId="0" fontId="50" fillId="0" borderId="22" xfId="38" applyFont="1" applyBorder="1" applyAlignment="1">
      <alignment horizontal="center" vertical="center"/>
    </xf>
    <xf numFmtId="0" fontId="50" fillId="0" borderId="23" xfId="38" applyFont="1" applyBorder="1" applyAlignment="1">
      <alignment horizontal="center" vertical="center"/>
    </xf>
    <xf numFmtId="0" fontId="50" fillId="0" borderId="24" xfId="38" applyFont="1" applyBorder="1" applyAlignment="1">
      <alignment horizontal="center" vertical="center"/>
    </xf>
    <xf numFmtId="0" fontId="38" fillId="0" borderId="12" xfId="50" applyBorder="1" applyAlignment="1">
      <alignment vertical="center" wrapText="1"/>
    </xf>
    <xf numFmtId="0" fontId="38" fillId="0" borderId="14" xfId="50" applyBorder="1" applyAlignment="1">
      <alignment vertical="center" wrapText="1"/>
    </xf>
    <xf numFmtId="0" fontId="45" fillId="36" borderId="12" xfId="50" applyFont="1" applyFill="1" applyBorder="1" applyAlignment="1">
      <alignment horizontal="center" vertical="center" wrapText="1"/>
    </xf>
    <xf numFmtId="0" fontId="45" fillId="36" borderId="14" xfId="50" applyFont="1" applyFill="1" applyBorder="1" applyAlignment="1">
      <alignment horizontal="center" vertical="center" wrapText="1"/>
    </xf>
    <xf numFmtId="0" fontId="34" fillId="37" borderId="12" xfId="50" applyFont="1" applyFill="1" applyBorder="1" applyAlignment="1">
      <alignment horizontal="left" vertical="center" wrapText="1"/>
    </xf>
    <xf numFmtId="0" fontId="39" fillId="37" borderId="13" xfId="50" applyFont="1" applyFill="1" applyBorder="1" applyAlignment="1">
      <alignment horizontal="left" vertical="center" wrapText="1"/>
    </xf>
    <xf numFmtId="3" fontId="39" fillId="37" borderId="12" xfId="50" applyNumberFormat="1" applyFont="1" applyFill="1" applyBorder="1" applyAlignment="1">
      <alignment horizontal="right" vertical="center" wrapText="1"/>
    </xf>
    <xf numFmtId="3" fontId="39" fillId="37" borderId="14" xfId="50" applyNumberFormat="1" applyFont="1" applyFill="1" applyBorder="1" applyAlignment="1">
      <alignment horizontal="right" vertical="center" wrapText="1"/>
    </xf>
    <xf numFmtId="0" fontId="38" fillId="0" borderId="0" xfId="50" applyAlignment="1">
      <alignment horizontal="center"/>
    </xf>
    <xf numFmtId="0" fontId="44" fillId="36" borderId="12" xfId="50" applyFont="1" applyFill="1" applyBorder="1" applyAlignment="1">
      <alignment horizontal="center" vertical="center" wrapText="1"/>
    </xf>
    <xf numFmtId="0" fontId="44" fillId="36" borderId="14" xfId="50" applyFont="1" applyFill="1" applyBorder="1" applyAlignment="1">
      <alignment horizontal="center" vertical="center" wrapText="1"/>
    </xf>
    <xf numFmtId="0" fontId="44" fillId="36" borderId="12" xfId="50" applyFont="1" applyFill="1" applyBorder="1" applyAlignment="1">
      <alignment horizontal="center" vertical="top" wrapText="1"/>
    </xf>
    <xf numFmtId="0" fontId="44" fillId="36" borderId="13" xfId="50" applyFont="1" applyFill="1" applyBorder="1" applyAlignment="1">
      <alignment horizontal="center" vertical="top" wrapText="1"/>
    </xf>
    <xf numFmtId="0" fontId="44" fillId="36" borderId="14" xfId="50" applyFont="1" applyFill="1" applyBorder="1" applyAlignment="1">
      <alignment horizontal="center" vertical="top" wrapText="1"/>
    </xf>
    <xf numFmtId="0" fontId="44" fillId="36" borderId="11" xfId="50" applyFont="1" applyFill="1" applyBorder="1" applyAlignment="1">
      <alignment horizontal="center" vertical="center" wrapText="1"/>
    </xf>
    <xf numFmtId="0" fontId="44" fillId="36" borderId="15" xfId="50" applyFont="1" applyFill="1" applyBorder="1" applyAlignment="1">
      <alignment horizontal="center" vertical="center" wrapText="1"/>
    </xf>
    <xf numFmtId="0" fontId="42" fillId="0" borderId="0" xfId="50" applyFont="1" applyAlignment="1">
      <alignment horizontal="center" vertical="center" wrapText="1"/>
    </xf>
    <xf numFmtId="0" fontId="28" fillId="0" borderId="0" xfId="50" applyFont="1" applyAlignment="1">
      <alignment horizontal="center" vertical="center"/>
    </xf>
    <xf numFmtId="0" fontId="28" fillId="0" borderId="0" xfId="50" applyFont="1" applyAlignment="1">
      <alignment horizontal="center"/>
    </xf>
    <xf numFmtId="0" fontId="30" fillId="0" borderId="0" xfId="50" applyFont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51" builtinId="3"/>
    <cellStyle name="Explanatory Text" xfId="28" builtinId="53" customBuiltin="1"/>
    <cellStyle name="Good" xfId="29" builtinId="26" customBuiltin="1"/>
    <cellStyle name="GroupStyle" xfId="47" xr:uid="{3DEB4D0F-C8B5-4C5F-AA01-EE6BAB1C2F39}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myStyle" xfId="48" xr:uid="{08A96095-66FB-4C11-BB40-F50F4861B6EE}"/>
    <cellStyle name="Neutral" xfId="37" builtinId="28" customBuiltin="1"/>
    <cellStyle name="Normal" xfId="0" builtinId="0"/>
    <cellStyle name="Normal 2" xfId="38" xr:uid="{00000000-0005-0000-0000-000026000000}"/>
    <cellStyle name="Normal 3" xfId="39" xr:uid="{00000000-0005-0000-0000-000027000000}"/>
    <cellStyle name="Normal 4" xfId="50" xr:uid="{25AD8066-E171-499D-97F9-59364A263985}"/>
    <cellStyle name="Normal 7" xfId="46" xr:uid="{00000000-0005-0000-0000-000028000000}"/>
    <cellStyle name="Normal 8" xfId="45" xr:uid="{00000000-0005-0000-0000-000029000000}"/>
    <cellStyle name="Note 2" xfId="40" xr:uid="{00000000-0005-0000-0000-00002A000000}"/>
    <cellStyle name="Output" xfId="41" builtinId="21" customBuiltin="1"/>
    <cellStyle name="TABLE HEADER" xfId="49" xr:uid="{45E3E93D-61C1-47EB-A731-0539AB84A23D}"/>
    <cellStyle name="Title 2" xfId="42" xr:uid="{00000000-0005-0000-0000-00002C000000}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33CCCC"/>
      <color rgb="FF009999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16"/>
  <sheetViews>
    <sheetView showGridLines="0" tabSelected="1" topLeftCell="A7" zoomScaleNormal="100" workbookViewId="0">
      <selection activeCell="I9" sqref="I9"/>
    </sheetView>
  </sheetViews>
  <sheetFormatPr defaultColWidth="9.109375" defaultRowHeight="13.8" x14ac:dyDescent="0.25"/>
  <cols>
    <col min="1" max="1" width="3.44140625" style="1" customWidth="1"/>
    <col min="2" max="2" width="9.109375" style="1"/>
    <col min="3" max="3" width="8" style="1" customWidth="1"/>
    <col min="4" max="4" width="51.109375" style="1" customWidth="1"/>
    <col min="5" max="5" width="66.44140625" style="2" bestFit="1" customWidth="1"/>
    <col min="6" max="6" width="18.77734375" style="2" customWidth="1"/>
    <col min="7" max="16384" width="9.109375" style="1"/>
  </cols>
  <sheetData>
    <row r="1" spans="2:6" x14ac:dyDescent="0.25">
      <c r="B1" s="88" t="s">
        <v>2</v>
      </c>
      <c r="C1" s="88"/>
      <c r="D1" s="88"/>
    </row>
    <row r="2" spans="2:6" x14ac:dyDescent="0.25">
      <c r="B2" s="88"/>
      <c r="C2" s="88"/>
      <c r="D2" s="88"/>
    </row>
    <row r="3" spans="2:6" s="6" customFormat="1" ht="30" customHeight="1" x14ac:dyDescent="0.3">
      <c r="B3" s="89"/>
      <c r="C3" s="89"/>
      <c r="D3" s="89"/>
      <c r="E3" s="7"/>
      <c r="F3" s="7"/>
    </row>
    <row r="4" spans="2:6" s="5" customFormat="1" ht="30" customHeight="1" x14ac:dyDescent="0.3">
      <c r="B4" s="33" t="s">
        <v>0</v>
      </c>
      <c r="C4" s="34" t="s">
        <v>1</v>
      </c>
      <c r="D4" s="34" t="s">
        <v>4</v>
      </c>
      <c r="E4" s="34" t="s">
        <v>5</v>
      </c>
      <c r="F4" s="34" t="s">
        <v>6</v>
      </c>
    </row>
    <row r="5" spans="2:6" s="15" customFormat="1" x14ac:dyDescent="0.25">
      <c r="B5" s="3">
        <v>1</v>
      </c>
      <c r="C5" s="4" t="s">
        <v>50</v>
      </c>
      <c r="D5" s="9" t="s">
        <v>115</v>
      </c>
      <c r="E5" s="10" t="s">
        <v>118</v>
      </c>
      <c r="F5" s="8"/>
    </row>
    <row r="6" spans="2:6" s="15" customFormat="1" x14ac:dyDescent="0.25">
      <c r="B6" s="3">
        <v>2</v>
      </c>
      <c r="C6" s="4" t="s">
        <v>50</v>
      </c>
      <c r="D6" s="9" t="s">
        <v>116</v>
      </c>
      <c r="E6" s="10" t="s">
        <v>119</v>
      </c>
      <c r="F6" s="8"/>
    </row>
    <row r="7" spans="2:6" s="15" customFormat="1" x14ac:dyDescent="0.25">
      <c r="B7" s="3">
        <v>3</v>
      </c>
      <c r="C7" s="4" t="s">
        <v>50</v>
      </c>
      <c r="D7" s="9" t="s">
        <v>117</v>
      </c>
      <c r="E7" s="10" t="s">
        <v>120</v>
      </c>
      <c r="F7" s="8"/>
    </row>
    <row r="8" spans="2:6" s="15" customFormat="1" x14ac:dyDescent="0.25">
      <c r="B8" s="3">
        <v>4</v>
      </c>
      <c r="C8" s="4" t="s">
        <v>50</v>
      </c>
      <c r="D8" s="9" t="s">
        <v>52</v>
      </c>
      <c r="E8" s="10" t="s">
        <v>41</v>
      </c>
      <c r="F8" s="8"/>
    </row>
    <row r="9" spans="2:6" x14ac:dyDescent="0.25">
      <c r="B9" s="3">
        <v>5</v>
      </c>
      <c r="C9" s="4" t="s">
        <v>50</v>
      </c>
      <c r="D9" s="9" t="s">
        <v>53</v>
      </c>
      <c r="E9" s="10" t="s">
        <v>42</v>
      </c>
      <c r="F9" s="8"/>
    </row>
    <row r="10" spans="2:6" ht="27.6" x14ac:dyDescent="0.25">
      <c r="B10" s="3">
        <v>6</v>
      </c>
      <c r="C10" s="4" t="s">
        <v>50</v>
      </c>
      <c r="D10" s="9" t="s">
        <v>51</v>
      </c>
      <c r="E10" s="10" t="s">
        <v>43</v>
      </c>
      <c r="F10" s="8"/>
    </row>
    <row r="11" spans="2:6" ht="15" customHeight="1" x14ac:dyDescent="0.25">
      <c r="B11" s="3">
        <v>7</v>
      </c>
      <c r="C11" s="4" t="s">
        <v>50</v>
      </c>
      <c r="D11" s="4" t="s">
        <v>54</v>
      </c>
      <c r="E11" s="32" t="s">
        <v>48</v>
      </c>
      <c r="F11" s="32"/>
    </row>
    <row r="12" spans="2:6" ht="15.6" customHeight="1" x14ac:dyDescent="0.25">
      <c r="B12" s="3">
        <v>8</v>
      </c>
      <c r="C12" s="4" t="s">
        <v>50</v>
      </c>
      <c r="D12" s="4" t="s">
        <v>55</v>
      </c>
      <c r="E12" s="32" t="s">
        <v>49</v>
      </c>
      <c r="F12" s="32"/>
    </row>
    <row r="13" spans="2:6" x14ac:dyDescent="0.25">
      <c r="B13" s="3">
        <v>9</v>
      </c>
      <c r="C13" s="4" t="s">
        <v>50</v>
      </c>
      <c r="D13" s="4" t="s">
        <v>56</v>
      </c>
      <c r="E13" s="32" t="s">
        <v>61</v>
      </c>
      <c r="F13" s="32"/>
    </row>
    <row r="14" spans="2:6" x14ac:dyDescent="0.25">
      <c r="B14" s="3">
        <v>10</v>
      </c>
      <c r="C14" s="4" t="s">
        <v>50</v>
      </c>
      <c r="D14" s="4" t="s">
        <v>62</v>
      </c>
      <c r="E14" s="32" t="s">
        <v>58</v>
      </c>
      <c r="F14" s="32"/>
    </row>
    <row r="15" spans="2:6" x14ac:dyDescent="0.25">
      <c r="B15" s="3">
        <v>11</v>
      </c>
      <c r="C15" s="4" t="s">
        <v>50</v>
      </c>
      <c r="D15" s="4" t="s">
        <v>57</v>
      </c>
      <c r="E15" s="32" t="s">
        <v>59</v>
      </c>
      <c r="F15" s="32"/>
    </row>
    <row r="16" spans="2:6" x14ac:dyDescent="0.25">
      <c r="B16" s="3">
        <v>12</v>
      </c>
      <c r="C16" s="4" t="s">
        <v>50</v>
      </c>
      <c r="D16" s="4" t="s">
        <v>63</v>
      </c>
      <c r="E16" s="32" t="s">
        <v>60</v>
      </c>
      <c r="F16" s="32"/>
    </row>
  </sheetData>
  <mergeCells count="1">
    <mergeCell ref="B1:D3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1886-9E95-4B35-8AB5-7DC5889A2986}">
  <dimension ref="A1:K23"/>
  <sheetViews>
    <sheetView showGridLines="0" topLeftCell="A4" zoomScale="90" zoomScaleNormal="90" workbookViewId="0">
      <selection activeCell="H5" sqref="A2:H6"/>
    </sheetView>
  </sheetViews>
  <sheetFormatPr defaultColWidth="9.109375" defaultRowHeight="13.8" x14ac:dyDescent="0.25"/>
  <cols>
    <col min="1" max="1" width="6.88671875" style="12" customWidth="1"/>
    <col min="2" max="2" width="14.21875" style="12" bestFit="1" customWidth="1"/>
    <col min="3" max="3" width="14.21875" style="12" customWidth="1"/>
    <col min="4" max="4" width="33.44140625" style="12" customWidth="1"/>
    <col min="5" max="5" width="7.33203125" style="12" customWidth="1"/>
    <col min="6" max="6" width="9.77734375" style="12" customWidth="1"/>
    <col min="7" max="7" width="10.33203125" style="12" customWidth="1"/>
    <col min="8" max="8" width="14.6640625" style="12" customWidth="1"/>
    <col min="9" max="9" width="28.77734375" style="12" customWidth="1"/>
    <col min="10" max="10" width="10.109375" style="12" customWidth="1"/>
    <col min="11" max="16384" width="9.109375" style="12"/>
  </cols>
  <sheetData>
    <row r="1" spans="1:11" x14ac:dyDescent="0.25">
      <c r="A1" s="11" t="s">
        <v>3</v>
      </c>
      <c r="D1" s="14"/>
    </row>
    <row r="2" spans="1:11" customFormat="1" ht="14.4" x14ac:dyDescent="0.3">
      <c r="A2" s="97"/>
      <c r="B2" s="97"/>
      <c r="C2" s="82"/>
      <c r="D2" s="98"/>
      <c r="E2" s="98"/>
      <c r="F2" s="98"/>
      <c r="G2" s="26"/>
      <c r="H2" s="26"/>
      <c r="I2" s="26"/>
      <c r="J2" s="26"/>
    </row>
    <row r="3" spans="1:11" customFormat="1" ht="16.2" customHeight="1" x14ac:dyDescent="0.3">
      <c r="A3" s="25"/>
      <c r="B3" s="25"/>
      <c r="C3" s="25"/>
      <c r="D3" s="99"/>
      <c r="E3" s="99"/>
      <c r="F3" s="99"/>
      <c r="G3" s="99"/>
      <c r="H3" s="99"/>
      <c r="I3" s="26"/>
      <c r="J3" s="26"/>
    </row>
    <row r="4" spans="1:11" customFormat="1" ht="14.4" x14ac:dyDescent="0.3">
      <c r="A4" s="25"/>
      <c r="B4" s="25"/>
      <c r="C4" s="25"/>
      <c r="D4" s="92"/>
      <c r="E4" s="92"/>
      <c r="F4" s="92"/>
      <c r="G4" s="26"/>
      <c r="H4" s="26"/>
      <c r="I4" s="26"/>
      <c r="J4" s="26"/>
    </row>
    <row r="5" spans="1:11" customFormat="1" ht="14.4" x14ac:dyDescent="0.3">
      <c r="A5" s="25"/>
      <c r="B5" s="25"/>
      <c r="C5" s="25"/>
      <c r="D5" s="24"/>
      <c r="E5" s="24"/>
      <c r="F5" s="24"/>
      <c r="G5" s="92"/>
      <c r="H5" s="92"/>
      <c r="I5" s="92"/>
      <c r="J5" s="92"/>
    </row>
    <row r="6" spans="1:11" customFormat="1" ht="14.4" x14ac:dyDescent="0.3">
      <c r="A6" s="25"/>
      <c r="B6" s="25"/>
      <c r="C6" s="25"/>
      <c r="D6" s="24"/>
      <c r="E6" s="24"/>
      <c r="F6" s="24"/>
      <c r="G6" s="92"/>
      <c r="H6" s="92"/>
      <c r="I6" s="92"/>
      <c r="J6" s="92"/>
    </row>
    <row r="7" spans="1:11" customFormat="1" ht="14.4" x14ac:dyDescent="0.3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1" customFormat="1" ht="29.4" customHeight="1" x14ac:dyDescent="0.3">
      <c r="A8" s="93" t="s">
        <v>72</v>
      </c>
      <c r="B8" s="93"/>
      <c r="C8" s="93"/>
      <c r="D8" s="93"/>
      <c r="E8" s="93"/>
      <c r="F8" s="93"/>
      <c r="G8" s="93"/>
      <c r="H8" s="93"/>
      <c r="I8" s="93"/>
      <c r="J8" s="93"/>
    </row>
    <row r="9" spans="1:11" customFormat="1" ht="15" customHeight="1" x14ac:dyDescent="0.3">
      <c r="A9" s="40"/>
      <c r="B9" s="40"/>
      <c r="C9" s="40"/>
      <c r="D9" s="55" t="s">
        <v>73</v>
      </c>
      <c r="E9" s="76" t="s">
        <v>74</v>
      </c>
      <c r="F9" s="40"/>
      <c r="G9" s="40"/>
      <c r="H9" s="40"/>
      <c r="I9" s="40"/>
      <c r="J9" s="40"/>
    </row>
    <row r="10" spans="1:11" customFormat="1" ht="15" customHeight="1" x14ac:dyDescent="0.3">
      <c r="A10" s="40"/>
      <c r="B10" s="40"/>
      <c r="C10" s="40"/>
      <c r="D10" s="55" t="s">
        <v>75</v>
      </c>
      <c r="E10" s="76" t="s">
        <v>76</v>
      </c>
      <c r="F10" s="40"/>
      <c r="G10" s="40"/>
      <c r="H10" s="23" t="s">
        <v>64</v>
      </c>
      <c r="I10" s="27" t="s">
        <v>121</v>
      </c>
      <c r="J10" s="40"/>
    </row>
    <row r="11" spans="1:11" customFormat="1" ht="14.4" x14ac:dyDescent="0.3">
      <c r="A11" s="26"/>
      <c r="B11" s="26"/>
      <c r="C11" s="26"/>
      <c r="D11" s="26"/>
      <c r="E11" s="12"/>
      <c r="F11" s="26"/>
      <c r="G11" s="26"/>
      <c r="H11" s="23" t="s">
        <v>82</v>
      </c>
      <c r="I11" s="27">
        <v>100</v>
      </c>
      <c r="J11" s="26"/>
    </row>
    <row r="12" spans="1:11" customFormat="1" ht="15.6" customHeight="1" x14ac:dyDescent="0.3">
      <c r="A12" s="12"/>
      <c r="B12" s="12"/>
      <c r="C12" s="43" t="s">
        <v>44</v>
      </c>
      <c r="D12" s="49">
        <v>45524</v>
      </c>
      <c r="E12" s="12"/>
      <c r="F12" s="26"/>
      <c r="G12" s="12"/>
      <c r="H12" s="23" t="s">
        <v>80</v>
      </c>
      <c r="I12" s="56">
        <v>15</v>
      </c>
      <c r="J12" s="12"/>
    </row>
    <row r="13" spans="1:11" customFormat="1" ht="15.6" customHeight="1" x14ac:dyDescent="0.3">
      <c r="A13" s="12"/>
      <c r="B13" s="12"/>
      <c r="C13" s="43" t="s">
        <v>77</v>
      </c>
      <c r="D13" s="38" t="s">
        <v>78</v>
      </c>
      <c r="E13" s="12"/>
      <c r="F13" s="24"/>
      <c r="G13" s="12"/>
      <c r="H13" s="59" t="s">
        <v>81</v>
      </c>
      <c r="I13" s="60">
        <v>0</v>
      </c>
      <c r="J13" s="12"/>
    </row>
    <row r="14" spans="1:11" customFormat="1" ht="15.6" customHeight="1" x14ac:dyDescent="0.3">
      <c r="A14" s="12"/>
      <c r="B14" s="12"/>
      <c r="C14" s="43" t="s">
        <v>97</v>
      </c>
      <c r="D14" s="24" t="s">
        <v>79</v>
      </c>
      <c r="E14" s="12"/>
      <c r="F14" s="24"/>
      <c r="G14" s="12"/>
      <c r="H14" s="59" t="s">
        <v>83</v>
      </c>
      <c r="I14" s="60" t="s">
        <v>84</v>
      </c>
      <c r="J14" s="12"/>
    </row>
    <row r="15" spans="1:11" customFormat="1" ht="14.4" x14ac:dyDescent="0.3">
      <c r="A15" s="26"/>
      <c r="B15" s="26"/>
      <c r="C15" s="28"/>
      <c r="D15" s="28"/>
      <c r="E15" s="28"/>
      <c r="F15" s="28"/>
      <c r="G15" s="28"/>
      <c r="H15" s="28"/>
      <c r="I15" s="28"/>
      <c r="J15" s="28"/>
    </row>
    <row r="16" spans="1:11" customFormat="1" ht="29.4" customHeight="1" x14ac:dyDescent="0.3">
      <c r="A16" s="12"/>
      <c r="B16" s="39" t="s">
        <v>0</v>
      </c>
      <c r="C16" s="83" t="s">
        <v>46</v>
      </c>
      <c r="D16" s="61" t="s">
        <v>47</v>
      </c>
      <c r="E16" s="61" t="s">
        <v>22</v>
      </c>
      <c r="F16" s="61" t="s">
        <v>85</v>
      </c>
      <c r="G16" s="61" t="s">
        <v>86</v>
      </c>
      <c r="H16" s="61" t="s">
        <v>87</v>
      </c>
      <c r="I16" s="61" t="s">
        <v>88</v>
      </c>
      <c r="J16" s="61" t="s">
        <v>89</v>
      </c>
      <c r="K16" s="61" t="s">
        <v>114</v>
      </c>
    </row>
    <row r="17" spans="1:11" customFormat="1" ht="22.2" customHeight="1" x14ac:dyDescent="0.3">
      <c r="A17" s="12"/>
      <c r="B17" s="79" t="s">
        <v>18</v>
      </c>
      <c r="C17" s="84" t="s">
        <v>65</v>
      </c>
      <c r="D17" s="65" t="s">
        <v>122</v>
      </c>
      <c r="E17" s="87" t="s">
        <v>137</v>
      </c>
      <c r="F17" s="66">
        <v>40</v>
      </c>
      <c r="G17" s="67">
        <v>40</v>
      </c>
      <c r="H17" s="69">
        <v>150000</v>
      </c>
      <c r="I17" s="70">
        <f>G17*H17</f>
        <v>6000000</v>
      </c>
      <c r="J17" s="62" t="s">
        <v>71</v>
      </c>
      <c r="K17" s="62" t="s">
        <v>124</v>
      </c>
    </row>
    <row r="18" spans="1:11" customFormat="1" ht="22.2" customHeight="1" x14ac:dyDescent="0.3">
      <c r="A18" s="12"/>
      <c r="B18" s="79" t="s">
        <v>40</v>
      </c>
      <c r="C18" s="80" t="s">
        <v>66</v>
      </c>
      <c r="D18" s="50" t="s">
        <v>123</v>
      </c>
      <c r="E18" s="87" t="s">
        <v>138</v>
      </c>
      <c r="F18" s="50">
        <v>35</v>
      </c>
      <c r="G18" s="51">
        <v>35</v>
      </c>
      <c r="H18" s="81">
        <v>26000</v>
      </c>
      <c r="I18" s="85">
        <f>G18*H18</f>
        <v>910000</v>
      </c>
      <c r="J18" s="62" t="s">
        <v>71</v>
      </c>
      <c r="K18" s="62" t="s">
        <v>124</v>
      </c>
    </row>
    <row r="19" spans="1:11" customFormat="1" ht="18.600000000000001" customHeight="1" x14ac:dyDescent="0.3">
      <c r="A19" s="12"/>
      <c r="B19" s="94" t="s">
        <v>90</v>
      </c>
      <c r="C19" s="95"/>
      <c r="D19" s="95"/>
      <c r="E19" s="95"/>
      <c r="F19" s="95"/>
      <c r="G19" s="95"/>
      <c r="H19" s="96"/>
      <c r="I19" s="71">
        <f>SUM(I17:I18)</f>
        <v>6910000</v>
      </c>
      <c r="J19" s="53"/>
      <c r="K19" s="53"/>
    </row>
    <row r="21" spans="1:11" x14ac:dyDescent="0.25">
      <c r="I21" s="72" t="s">
        <v>125</v>
      </c>
    </row>
    <row r="22" spans="1:11" x14ac:dyDescent="0.25">
      <c r="B22" s="57" t="s">
        <v>91</v>
      </c>
      <c r="C22" s="57"/>
      <c r="D22" s="73" t="s">
        <v>92</v>
      </c>
      <c r="E22" s="90" t="s">
        <v>94</v>
      </c>
      <c r="F22" s="90"/>
      <c r="G22" s="57"/>
      <c r="H22" s="57" t="s">
        <v>96</v>
      </c>
      <c r="I22" s="73" t="s">
        <v>95</v>
      </c>
    </row>
    <row r="23" spans="1:11" x14ac:dyDescent="0.25">
      <c r="B23" s="74" t="s">
        <v>93</v>
      </c>
      <c r="C23" s="74"/>
      <c r="D23" s="74" t="s">
        <v>93</v>
      </c>
      <c r="E23" s="91" t="s">
        <v>93</v>
      </c>
      <c r="F23" s="91"/>
      <c r="G23" s="74"/>
      <c r="H23" s="75" t="s">
        <v>93</v>
      </c>
      <c r="I23" s="74" t="s">
        <v>93</v>
      </c>
    </row>
  </sheetData>
  <mergeCells count="12">
    <mergeCell ref="A2:B2"/>
    <mergeCell ref="D2:F2"/>
    <mergeCell ref="D4:F4"/>
    <mergeCell ref="G5:G6"/>
    <mergeCell ref="D3:H3"/>
    <mergeCell ref="E22:F22"/>
    <mergeCell ref="E23:F23"/>
    <mergeCell ref="I5:I6"/>
    <mergeCell ref="J5:J6"/>
    <mergeCell ref="A8:J8"/>
    <mergeCell ref="H5:H6"/>
    <mergeCell ref="B19:H19"/>
  </mergeCells>
  <phoneticPr fontId="43" type="noConversion"/>
  <hyperlinks>
    <hyperlink ref="A1" location="Menu!A1" display="MENU" xr:uid="{5E8BC436-7ED5-4482-B5F1-56A8912686E7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54A0-6C23-40F3-B969-3A540D3C721D}">
  <dimension ref="B1:K23"/>
  <sheetViews>
    <sheetView showGridLines="0" zoomScale="90" zoomScaleNormal="90" workbookViewId="0">
      <selection activeCell="I11" sqref="I11"/>
    </sheetView>
  </sheetViews>
  <sheetFormatPr defaultColWidth="9.109375" defaultRowHeight="13.8" x14ac:dyDescent="0.25"/>
  <cols>
    <col min="1" max="1" width="9.109375" style="12"/>
    <col min="2" max="2" width="6.88671875" style="12" customWidth="1"/>
    <col min="3" max="3" width="14.21875" style="12" bestFit="1" customWidth="1"/>
    <col min="4" max="4" width="33.44140625" style="12" customWidth="1"/>
    <col min="5" max="5" width="7.33203125" style="12" customWidth="1"/>
    <col min="6" max="6" width="9.77734375" style="12" customWidth="1"/>
    <col min="7" max="7" width="10.33203125" style="12" customWidth="1"/>
    <col min="8" max="8" width="16.33203125" style="12" bestFit="1" customWidth="1"/>
    <col min="9" max="9" width="29.44140625" style="12" customWidth="1"/>
    <col min="10" max="10" width="10.109375" style="12" customWidth="1"/>
    <col min="11" max="16384" width="9.109375" style="12"/>
  </cols>
  <sheetData>
    <row r="1" spans="2:11" x14ac:dyDescent="0.25">
      <c r="B1" s="11" t="s">
        <v>3</v>
      </c>
      <c r="D1" s="14"/>
    </row>
    <row r="2" spans="2:11" customFormat="1" ht="14.4" x14ac:dyDescent="0.3">
      <c r="B2" s="97"/>
      <c r="C2" s="97"/>
      <c r="D2" s="98"/>
      <c r="E2" s="98"/>
      <c r="F2" s="98"/>
      <c r="G2" s="26"/>
      <c r="H2" s="26"/>
      <c r="I2" s="26"/>
      <c r="J2" s="26"/>
    </row>
    <row r="3" spans="2:11" customFormat="1" ht="16.2" customHeight="1" x14ac:dyDescent="0.3">
      <c r="B3" s="25"/>
      <c r="C3" s="25"/>
      <c r="D3" s="99"/>
      <c r="E3" s="99"/>
      <c r="F3" s="99"/>
      <c r="G3" s="99"/>
      <c r="H3" s="99"/>
      <c r="I3" s="26"/>
      <c r="J3" s="26"/>
    </row>
    <row r="4" spans="2:11" customFormat="1" ht="14.4" x14ac:dyDescent="0.3">
      <c r="B4" s="25"/>
      <c r="C4" s="25"/>
      <c r="D4" s="92"/>
      <c r="E4" s="92"/>
      <c r="F4" s="92"/>
      <c r="G4" s="26"/>
      <c r="H4" s="26"/>
      <c r="I4" s="26"/>
      <c r="J4" s="26"/>
    </row>
    <row r="5" spans="2:11" customFormat="1" ht="14.4" x14ac:dyDescent="0.3">
      <c r="B5" s="25"/>
      <c r="C5" s="25"/>
      <c r="D5" s="24"/>
      <c r="E5" s="24"/>
      <c r="F5" s="24"/>
      <c r="G5" s="92"/>
      <c r="H5" s="92"/>
      <c r="I5" s="92"/>
      <c r="J5" s="92"/>
    </row>
    <row r="6" spans="2:11" customFormat="1" ht="14.4" x14ac:dyDescent="0.3">
      <c r="B6" s="25"/>
      <c r="C6" s="25"/>
      <c r="D6" s="24"/>
      <c r="E6" s="24"/>
      <c r="F6" s="24"/>
      <c r="G6" s="92"/>
      <c r="H6" s="92"/>
      <c r="I6" s="92"/>
      <c r="J6" s="92"/>
    </row>
    <row r="7" spans="2:11" customFormat="1" ht="14.4" x14ac:dyDescent="0.3">
      <c r="B7" s="26"/>
      <c r="C7" s="26"/>
      <c r="D7" s="26"/>
      <c r="E7" s="26"/>
      <c r="F7" s="26"/>
      <c r="G7" s="26"/>
      <c r="H7" s="26"/>
      <c r="I7" s="26"/>
      <c r="J7" s="26"/>
    </row>
    <row r="8" spans="2:11" customFormat="1" ht="29.4" customHeight="1" x14ac:dyDescent="0.3">
      <c r="B8" s="93" t="s">
        <v>98</v>
      </c>
      <c r="C8" s="93"/>
      <c r="D8" s="93"/>
      <c r="E8" s="93"/>
      <c r="F8" s="93"/>
      <c r="G8" s="93"/>
      <c r="H8" s="93"/>
      <c r="I8" s="93"/>
      <c r="J8" s="93"/>
    </row>
    <row r="9" spans="2:11" customFormat="1" ht="15" customHeight="1" x14ac:dyDescent="0.3">
      <c r="B9" s="40"/>
      <c r="C9" s="40"/>
      <c r="D9" s="55" t="s">
        <v>73</v>
      </c>
      <c r="E9" s="76" t="s">
        <v>99</v>
      </c>
      <c r="F9" s="40"/>
      <c r="G9" s="40"/>
      <c r="H9" s="40"/>
      <c r="I9" s="40"/>
      <c r="J9" s="40"/>
    </row>
    <row r="10" spans="2:11" customFormat="1" ht="15" customHeight="1" x14ac:dyDescent="0.3">
      <c r="B10" s="40"/>
      <c r="C10" s="40"/>
      <c r="D10" s="55" t="s">
        <v>75</v>
      </c>
      <c r="E10" s="76" t="s">
        <v>76</v>
      </c>
      <c r="F10" s="40"/>
      <c r="G10" s="40"/>
      <c r="H10" s="23"/>
      <c r="I10" s="27"/>
      <c r="J10" s="40"/>
    </row>
    <row r="11" spans="2:11" customFormat="1" ht="14.4" x14ac:dyDescent="0.3">
      <c r="B11" s="26"/>
      <c r="C11" s="26"/>
      <c r="D11" s="26"/>
      <c r="E11" s="12"/>
      <c r="F11" s="26"/>
      <c r="G11" s="26"/>
      <c r="H11" s="23" t="s">
        <v>64</v>
      </c>
      <c r="I11" s="27"/>
      <c r="J11" s="26"/>
    </row>
    <row r="12" spans="2:11" customFormat="1" ht="15.6" customHeight="1" x14ac:dyDescent="0.3">
      <c r="B12" s="12"/>
      <c r="C12" s="43" t="s">
        <v>44</v>
      </c>
      <c r="D12" s="49">
        <v>45524</v>
      </c>
      <c r="E12" s="12"/>
      <c r="F12" s="26"/>
      <c r="G12" s="12"/>
      <c r="H12" s="23" t="s">
        <v>102</v>
      </c>
      <c r="I12" s="56">
        <v>15</v>
      </c>
      <c r="J12" s="12"/>
    </row>
    <row r="13" spans="2:11" customFormat="1" ht="15.6" customHeight="1" x14ac:dyDescent="0.3">
      <c r="B13" s="12"/>
      <c r="C13" s="43" t="s">
        <v>100</v>
      </c>
      <c r="D13" s="38" t="s">
        <v>78</v>
      </c>
      <c r="E13" s="12"/>
      <c r="F13" s="24"/>
      <c r="G13" s="12"/>
      <c r="H13" s="59" t="s">
        <v>82</v>
      </c>
      <c r="I13" s="60">
        <v>0</v>
      </c>
      <c r="J13" s="12"/>
    </row>
    <row r="14" spans="2:11" customFormat="1" ht="15.6" customHeight="1" x14ac:dyDescent="0.3">
      <c r="B14" s="12"/>
      <c r="C14" s="43" t="s">
        <v>97</v>
      </c>
      <c r="D14" s="24" t="s">
        <v>101</v>
      </c>
      <c r="E14" s="12"/>
      <c r="F14" s="24"/>
      <c r="G14" s="12"/>
      <c r="H14" s="59" t="s">
        <v>80</v>
      </c>
      <c r="I14" s="60" t="s">
        <v>84</v>
      </c>
      <c r="J14" s="12"/>
    </row>
    <row r="15" spans="2:11" customFormat="1" ht="14.4" x14ac:dyDescent="0.3">
      <c r="B15" s="28"/>
      <c r="C15" s="28"/>
      <c r="D15" s="28"/>
      <c r="E15" s="28"/>
      <c r="F15" s="28"/>
      <c r="G15" s="28"/>
      <c r="H15" s="28"/>
      <c r="I15" s="28"/>
      <c r="J15" s="28"/>
    </row>
    <row r="16" spans="2:11" customFormat="1" ht="29.4" customHeight="1" x14ac:dyDescent="0.3">
      <c r="B16" s="61" t="s">
        <v>0</v>
      </c>
      <c r="C16" s="61" t="s">
        <v>46</v>
      </c>
      <c r="D16" s="61" t="s">
        <v>47</v>
      </c>
      <c r="E16" s="61" t="s">
        <v>22</v>
      </c>
      <c r="F16" s="61" t="s">
        <v>85</v>
      </c>
      <c r="G16" s="61" t="s">
        <v>86</v>
      </c>
      <c r="H16" s="61" t="s">
        <v>87</v>
      </c>
      <c r="I16" s="61" t="s">
        <v>88</v>
      </c>
      <c r="J16" s="61" t="s">
        <v>103</v>
      </c>
      <c r="K16" s="61" t="s">
        <v>114</v>
      </c>
    </row>
    <row r="17" spans="2:11" customFormat="1" ht="22.2" customHeight="1" x14ac:dyDescent="0.3">
      <c r="B17" s="29" t="s">
        <v>18</v>
      </c>
      <c r="C17" s="52" t="s">
        <v>65</v>
      </c>
      <c r="D17" s="65" t="s">
        <v>122</v>
      </c>
      <c r="E17" s="87" t="s">
        <v>137</v>
      </c>
      <c r="F17" s="50">
        <v>40</v>
      </c>
      <c r="G17" s="51">
        <v>40</v>
      </c>
      <c r="H17" s="69">
        <v>180000</v>
      </c>
      <c r="I17" s="70">
        <f>G17*H17</f>
        <v>7200000</v>
      </c>
      <c r="J17" s="62" t="s">
        <v>71</v>
      </c>
      <c r="K17" s="62" t="s">
        <v>124</v>
      </c>
    </row>
    <row r="18" spans="2:11" customFormat="1" ht="22.2" customHeight="1" x14ac:dyDescent="0.3">
      <c r="B18" s="63" t="s">
        <v>40</v>
      </c>
      <c r="C18" s="64" t="s">
        <v>66</v>
      </c>
      <c r="D18" s="50" t="s">
        <v>123</v>
      </c>
      <c r="E18" s="87" t="s">
        <v>138</v>
      </c>
      <c r="F18" s="66">
        <v>35</v>
      </c>
      <c r="G18" s="67">
        <v>35</v>
      </c>
      <c r="H18" s="81">
        <v>36000</v>
      </c>
      <c r="I18" s="70">
        <f>G18*H18</f>
        <v>1260000</v>
      </c>
      <c r="J18" s="62" t="s">
        <v>71</v>
      </c>
      <c r="K18" s="62" t="s">
        <v>124</v>
      </c>
    </row>
    <row r="19" spans="2:11" customFormat="1" ht="18.600000000000001" customHeight="1" x14ac:dyDescent="0.3">
      <c r="B19" s="100" t="s">
        <v>90</v>
      </c>
      <c r="C19" s="100"/>
      <c r="D19" s="100"/>
      <c r="E19" s="100"/>
      <c r="F19" s="100"/>
      <c r="G19" s="100"/>
      <c r="H19" s="100"/>
      <c r="I19" s="71">
        <f>SUM(I17:I18)</f>
        <v>8460000</v>
      </c>
      <c r="J19" s="53"/>
      <c r="K19" s="53"/>
    </row>
    <row r="21" spans="2:11" x14ac:dyDescent="0.25">
      <c r="I21" s="72" t="s">
        <v>125</v>
      </c>
    </row>
    <row r="22" spans="2:11" x14ac:dyDescent="0.25">
      <c r="C22" s="57" t="s">
        <v>91</v>
      </c>
      <c r="D22" s="73" t="s">
        <v>92</v>
      </c>
      <c r="E22" s="90" t="s">
        <v>94</v>
      </c>
      <c r="F22" s="90"/>
      <c r="G22" s="57"/>
      <c r="H22" s="57" t="s">
        <v>96</v>
      </c>
      <c r="I22" s="73" t="s">
        <v>95</v>
      </c>
    </row>
    <row r="23" spans="2:11" x14ac:dyDescent="0.25">
      <c r="C23" s="74" t="s">
        <v>93</v>
      </c>
      <c r="D23" s="74" t="s">
        <v>93</v>
      </c>
      <c r="E23" s="91" t="s">
        <v>93</v>
      </c>
      <c r="F23" s="91"/>
      <c r="G23" s="74"/>
      <c r="H23" s="75" t="s">
        <v>93</v>
      </c>
      <c r="I23" s="74" t="s">
        <v>93</v>
      </c>
    </row>
  </sheetData>
  <mergeCells count="12">
    <mergeCell ref="E23:F23"/>
    <mergeCell ref="B2:C2"/>
    <mergeCell ref="D2:F2"/>
    <mergeCell ref="D4:F4"/>
    <mergeCell ref="D3:H3"/>
    <mergeCell ref="I5:I6"/>
    <mergeCell ref="J5:J6"/>
    <mergeCell ref="B8:J8"/>
    <mergeCell ref="B19:H19"/>
    <mergeCell ref="E22:F22"/>
    <mergeCell ref="G5:G6"/>
    <mergeCell ref="H5:H6"/>
  </mergeCells>
  <phoneticPr fontId="43" type="noConversion"/>
  <hyperlinks>
    <hyperlink ref="B1" location="Menu!A1" display="MENU" xr:uid="{B97D2401-FCD6-410A-B5B6-1499D919A883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5756-F934-4AE4-A769-C136F20BE23E}">
  <dimension ref="B1:I20"/>
  <sheetViews>
    <sheetView showGridLines="0" zoomScale="90" zoomScaleNormal="90" workbookViewId="0">
      <selection activeCell="K7" sqref="A2:K7"/>
    </sheetView>
  </sheetViews>
  <sheetFormatPr defaultColWidth="9.109375" defaultRowHeight="13.8" x14ac:dyDescent="0.25"/>
  <cols>
    <col min="1" max="1" width="9.109375" style="12"/>
    <col min="2" max="2" width="6.88671875" style="12" customWidth="1"/>
    <col min="3" max="3" width="14.21875" style="12" bestFit="1" customWidth="1"/>
    <col min="4" max="4" width="33.44140625" style="12" customWidth="1"/>
    <col min="5" max="5" width="7.33203125" style="12" customWidth="1"/>
    <col min="6" max="6" width="9.77734375" style="12" customWidth="1"/>
    <col min="7" max="7" width="8.21875" style="12" customWidth="1"/>
    <col min="8" max="8" width="11.5546875" style="12" customWidth="1"/>
    <col min="9" max="9" width="33.6640625" style="12" customWidth="1"/>
    <col min="10" max="16384" width="9.109375" style="12"/>
  </cols>
  <sheetData>
    <row r="1" spans="2:9" x14ac:dyDescent="0.25">
      <c r="B1" s="11" t="s">
        <v>3</v>
      </c>
      <c r="D1" s="14"/>
    </row>
    <row r="2" spans="2:9" customFormat="1" ht="14.4" x14ac:dyDescent="0.3">
      <c r="B2" s="97"/>
      <c r="C2" s="97"/>
      <c r="D2" s="98"/>
      <c r="E2" s="98"/>
      <c r="F2" s="98"/>
      <c r="G2" s="26"/>
      <c r="H2" s="26"/>
      <c r="I2" s="26"/>
    </row>
    <row r="3" spans="2:9" customFormat="1" ht="16.2" customHeight="1" x14ac:dyDescent="0.3">
      <c r="B3" s="25"/>
      <c r="C3" s="25"/>
      <c r="D3" s="99"/>
      <c r="E3" s="99"/>
      <c r="F3" s="99"/>
      <c r="G3" s="99"/>
      <c r="H3" s="99"/>
      <c r="I3" s="26"/>
    </row>
    <row r="4" spans="2:9" customFormat="1" ht="14.4" x14ac:dyDescent="0.3">
      <c r="B4" s="25"/>
      <c r="C4" s="25"/>
      <c r="D4" s="92"/>
      <c r="E4" s="92"/>
      <c r="F4" s="92"/>
      <c r="G4" s="26"/>
      <c r="H4" s="26"/>
      <c r="I4" s="26"/>
    </row>
    <row r="5" spans="2:9" customFormat="1" ht="14.4" x14ac:dyDescent="0.3">
      <c r="B5" s="25"/>
      <c r="C5" s="25"/>
      <c r="D5" s="24"/>
      <c r="E5" s="24"/>
      <c r="F5" s="24"/>
      <c r="G5" s="92"/>
      <c r="H5" s="92"/>
      <c r="I5" s="92"/>
    </row>
    <row r="6" spans="2:9" customFormat="1" ht="14.4" x14ac:dyDescent="0.3">
      <c r="B6" s="25"/>
      <c r="C6" s="25"/>
      <c r="D6" s="24"/>
      <c r="E6" s="24"/>
      <c r="F6" s="24"/>
      <c r="G6" s="92"/>
      <c r="H6" s="92"/>
      <c r="I6" s="92"/>
    </row>
    <row r="7" spans="2:9" customFormat="1" ht="14.4" x14ac:dyDescent="0.3">
      <c r="B7" s="26"/>
      <c r="C7" s="26"/>
      <c r="D7" s="26"/>
      <c r="E7" s="26"/>
      <c r="F7" s="26"/>
      <c r="G7" s="26"/>
      <c r="H7" s="26"/>
      <c r="I7" s="26"/>
    </row>
    <row r="8" spans="2:9" customFormat="1" ht="29.4" customHeight="1" x14ac:dyDescent="0.3">
      <c r="B8" s="93" t="s">
        <v>104</v>
      </c>
      <c r="C8" s="93"/>
      <c r="D8" s="93"/>
      <c r="E8" s="93"/>
      <c r="F8" s="93"/>
      <c r="G8" s="93"/>
      <c r="H8" s="93"/>
      <c r="I8" s="93"/>
    </row>
    <row r="9" spans="2:9" customFormat="1" ht="14.4" x14ac:dyDescent="0.3">
      <c r="B9" s="26"/>
      <c r="C9" s="43" t="s">
        <v>44</v>
      </c>
      <c r="D9" s="49">
        <v>45524</v>
      </c>
      <c r="E9" s="58"/>
      <c r="F9" s="54"/>
      <c r="G9" s="54"/>
      <c r="H9" s="23" t="s">
        <v>109</v>
      </c>
      <c r="I9" s="27" t="s">
        <v>108</v>
      </c>
    </row>
    <row r="10" spans="2:9" customFormat="1" ht="15.6" customHeight="1" x14ac:dyDescent="0.3">
      <c r="B10" s="12"/>
      <c r="C10" s="43" t="s">
        <v>105</v>
      </c>
      <c r="D10" s="38" t="s">
        <v>126</v>
      </c>
      <c r="E10" s="58"/>
      <c r="F10" s="54"/>
      <c r="G10" s="58"/>
      <c r="H10" s="43" t="s">
        <v>97</v>
      </c>
      <c r="I10" s="24" t="s">
        <v>107</v>
      </c>
    </row>
    <row r="11" spans="2:9" customFormat="1" ht="15.6" customHeight="1" x14ac:dyDescent="0.3">
      <c r="B11" s="12"/>
      <c r="C11" s="77" t="s">
        <v>106</v>
      </c>
      <c r="D11" s="58" t="s">
        <v>127</v>
      </c>
      <c r="E11" s="58"/>
      <c r="F11" s="24"/>
      <c r="G11" s="58"/>
      <c r="H11" s="59"/>
      <c r="I11" s="60"/>
    </row>
    <row r="12" spans="2:9" customFormat="1" ht="14.4" x14ac:dyDescent="0.3">
      <c r="B12" s="28"/>
      <c r="C12" s="28"/>
      <c r="D12" s="28"/>
      <c r="E12" s="28"/>
      <c r="F12" s="28"/>
      <c r="G12" s="28"/>
      <c r="H12" s="28"/>
      <c r="I12" s="28"/>
    </row>
    <row r="13" spans="2:9" customFormat="1" ht="29.4" customHeight="1" x14ac:dyDescent="0.3">
      <c r="B13" s="61" t="s">
        <v>0</v>
      </c>
      <c r="C13" s="61" t="s">
        <v>46</v>
      </c>
      <c r="D13" s="61" t="s">
        <v>47</v>
      </c>
      <c r="E13" s="61" t="s">
        <v>22</v>
      </c>
      <c r="F13" s="61" t="s">
        <v>110</v>
      </c>
      <c r="G13" s="61" t="s">
        <v>85</v>
      </c>
      <c r="H13" s="61" t="s">
        <v>111</v>
      </c>
      <c r="I13" s="61" t="s">
        <v>6</v>
      </c>
    </row>
    <row r="14" spans="2:9" customFormat="1" ht="22.2" customHeight="1" x14ac:dyDescent="0.3">
      <c r="B14" s="29" t="s">
        <v>18</v>
      </c>
      <c r="C14" s="52" t="s">
        <v>65</v>
      </c>
      <c r="D14" s="65" t="s">
        <v>122</v>
      </c>
      <c r="E14" s="87" t="s">
        <v>137</v>
      </c>
      <c r="F14" s="50" t="s">
        <v>112</v>
      </c>
      <c r="G14" s="51">
        <v>20</v>
      </c>
      <c r="H14" s="68">
        <v>20</v>
      </c>
      <c r="I14" s="70" t="s">
        <v>107</v>
      </c>
    </row>
    <row r="15" spans="2:9" customFormat="1" ht="22.2" customHeight="1" x14ac:dyDescent="0.3">
      <c r="B15" s="63" t="s">
        <v>40</v>
      </c>
      <c r="C15" s="64" t="s">
        <v>66</v>
      </c>
      <c r="D15" s="50" t="s">
        <v>123</v>
      </c>
      <c r="E15" s="87" t="s">
        <v>138</v>
      </c>
      <c r="F15" s="50" t="s">
        <v>113</v>
      </c>
      <c r="G15" s="67">
        <v>10</v>
      </c>
      <c r="H15" s="69">
        <v>10</v>
      </c>
      <c r="I15" s="70" t="s">
        <v>107</v>
      </c>
    </row>
    <row r="16" spans="2:9" customFormat="1" ht="18.600000000000001" customHeight="1" x14ac:dyDescent="0.3">
      <c r="B16" s="78"/>
      <c r="C16" s="101" t="s">
        <v>70</v>
      </c>
      <c r="D16" s="102"/>
      <c r="E16" s="102"/>
      <c r="F16" s="103"/>
      <c r="G16" s="78">
        <f>SUM(G14:G15)</f>
        <v>30</v>
      </c>
      <c r="H16" s="78">
        <f>SUM(H14:H15)</f>
        <v>30</v>
      </c>
      <c r="I16" s="71"/>
    </row>
    <row r="18" spans="3:9" x14ac:dyDescent="0.25">
      <c r="I18" s="72" t="s">
        <v>125</v>
      </c>
    </row>
    <row r="19" spans="3:9" x14ac:dyDescent="0.25">
      <c r="C19" s="57" t="s">
        <v>91</v>
      </c>
      <c r="D19" s="73" t="s">
        <v>92</v>
      </c>
      <c r="E19" s="90" t="s">
        <v>94</v>
      </c>
      <c r="F19" s="90"/>
      <c r="G19" s="57"/>
      <c r="H19" s="57" t="s">
        <v>96</v>
      </c>
      <c r="I19" s="73" t="s">
        <v>95</v>
      </c>
    </row>
    <row r="20" spans="3:9" x14ac:dyDescent="0.25">
      <c r="C20" s="74" t="s">
        <v>93</v>
      </c>
      <c r="D20" s="74" t="s">
        <v>93</v>
      </c>
      <c r="E20" s="91" t="s">
        <v>93</v>
      </c>
      <c r="F20" s="91"/>
      <c r="G20" s="74"/>
      <c r="H20" s="75" t="s">
        <v>93</v>
      </c>
      <c r="I20" s="74" t="s">
        <v>93</v>
      </c>
    </row>
  </sheetData>
  <mergeCells count="11">
    <mergeCell ref="B2:C2"/>
    <mergeCell ref="D2:F2"/>
    <mergeCell ref="D4:F4"/>
    <mergeCell ref="G5:G6"/>
    <mergeCell ref="D3:H3"/>
    <mergeCell ref="I5:I6"/>
    <mergeCell ref="B8:I8"/>
    <mergeCell ref="E19:F19"/>
    <mergeCell ref="E20:F20"/>
    <mergeCell ref="C16:F16"/>
    <mergeCell ref="H5:H6"/>
  </mergeCells>
  <phoneticPr fontId="43" type="noConversion"/>
  <hyperlinks>
    <hyperlink ref="B1" location="Menu!A1" display="MENU" xr:uid="{0C53CC0A-BEE7-449F-8E9E-A7A6290C49E5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W24"/>
  <sheetViews>
    <sheetView showGridLines="0" zoomScale="80" zoomScaleNormal="80" workbookViewId="0">
      <selection activeCell="E26" sqref="E26"/>
    </sheetView>
  </sheetViews>
  <sheetFormatPr defaultColWidth="9.109375" defaultRowHeight="13.8" x14ac:dyDescent="0.25"/>
  <cols>
    <col min="1" max="1" width="9.109375" style="12"/>
    <col min="2" max="2" width="7.77734375" style="17" customWidth="1"/>
    <col min="3" max="3" width="15.88671875" style="17" bestFit="1" customWidth="1"/>
    <col min="4" max="4" width="18.5546875" style="17" customWidth="1"/>
    <col min="5" max="5" width="37.21875" style="17" customWidth="1"/>
    <col min="6" max="6" width="13.77734375" style="17" customWidth="1"/>
    <col min="7" max="7" width="12.44140625" style="17" customWidth="1"/>
    <col min="8" max="8" width="11.109375" style="17" customWidth="1"/>
    <col min="9" max="9" width="10.109375" style="12" customWidth="1"/>
    <col min="10" max="10" width="14.33203125" style="12" customWidth="1"/>
    <col min="11" max="12" width="13.44140625" style="12" customWidth="1"/>
    <col min="13" max="13" width="12.44140625" style="12" customWidth="1"/>
    <col min="14" max="14" width="15.109375" style="12" customWidth="1"/>
    <col min="15" max="15" width="14.109375" style="12" customWidth="1"/>
    <col min="16" max="16" width="11.109375" style="12" customWidth="1"/>
    <col min="17" max="17" width="9.109375" style="12"/>
    <col min="18" max="18" width="7.44140625" style="12" customWidth="1"/>
    <col min="19" max="16384" width="9.109375" style="12"/>
  </cols>
  <sheetData>
    <row r="1" spans="2:23" x14ac:dyDescent="0.25">
      <c r="B1" s="11" t="s">
        <v>3</v>
      </c>
      <c r="C1" s="13"/>
      <c r="D1" s="16"/>
    </row>
    <row r="2" spans="2:23" customFormat="1" ht="14.4" customHeight="1" x14ac:dyDescent="0.3"/>
    <row r="3" spans="2:23" customFormat="1" ht="14.4" customHeight="1" x14ac:dyDescent="0.3">
      <c r="B3" s="120"/>
      <c r="C3" s="120"/>
      <c r="D3" s="98"/>
      <c r="E3" s="98"/>
      <c r="F3" s="98"/>
      <c r="G3" s="26"/>
      <c r="H3" s="26"/>
      <c r="I3" s="42"/>
      <c r="J3" s="42"/>
      <c r="K3" s="42"/>
      <c r="L3" s="42"/>
      <c r="M3" s="42"/>
      <c r="N3" s="42"/>
      <c r="O3" s="42"/>
      <c r="P3" s="42"/>
      <c r="Q3" s="42"/>
      <c r="R3" s="18"/>
    </row>
    <row r="4" spans="2:23" customFormat="1" ht="14.4" customHeight="1" x14ac:dyDescent="0.3">
      <c r="B4" s="18"/>
      <c r="C4" s="18"/>
      <c r="D4" s="99"/>
      <c r="E4" s="99"/>
      <c r="F4" s="99"/>
      <c r="G4" s="99"/>
      <c r="H4" s="99"/>
      <c r="I4" s="41"/>
      <c r="J4" s="41"/>
      <c r="K4" s="41"/>
      <c r="L4" s="41"/>
      <c r="M4" s="41"/>
      <c r="N4" s="41"/>
      <c r="O4" s="41"/>
      <c r="P4" s="41"/>
      <c r="Q4" s="41"/>
      <c r="R4" s="18"/>
    </row>
    <row r="5" spans="2:23" customFormat="1" ht="14.4" customHeight="1" x14ac:dyDescent="0.3">
      <c r="D5" s="92"/>
      <c r="E5" s="92"/>
      <c r="F5" s="92"/>
      <c r="G5" s="26"/>
      <c r="H5" s="2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</row>
    <row r="6" spans="2:23" customFormat="1" ht="14.4" customHeight="1" x14ac:dyDescent="0.3">
      <c r="D6" s="24"/>
      <c r="E6" s="24"/>
      <c r="F6" s="24"/>
      <c r="G6" s="92"/>
      <c r="H6" s="92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</row>
    <row r="7" spans="2:23" customFormat="1" ht="14.4" x14ac:dyDescent="0.3">
      <c r="D7" s="24"/>
      <c r="E7" s="24"/>
      <c r="F7" s="24"/>
      <c r="G7" s="92"/>
      <c r="H7" s="92"/>
    </row>
    <row r="8" spans="2:23" customFormat="1" ht="24.6" x14ac:dyDescent="0.4">
      <c r="B8" s="123" t="s">
        <v>39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</row>
    <row r="9" spans="2:23" customFormat="1" ht="17.399999999999999" customHeight="1" x14ac:dyDescent="0.3">
      <c r="B9" s="122" t="s">
        <v>128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</row>
    <row r="10" spans="2:23" customFormat="1" ht="17.399999999999999" customHeight="1" x14ac:dyDescent="0.3">
      <c r="B10" s="121" t="s">
        <v>140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</row>
    <row r="11" spans="2:23" customFormat="1" ht="14.4" x14ac:dyDescent="0.3"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8"/>
    </row>
    <row r="12" spans="2:23" customFormat="1" ht="14.55" customHeight="1" x14ac:dyDescent="0.3">
      <c r="B12" s="118" t="s">
        <v>0</v>
      </c>
      <c r="C12" s="118" t="s">
        <v>19</v>
      </c>
      <c r="D12" s="118" t="s">
        <v>20</v>
      </c>
      <c r="E12" s="118" t="s">
        <v>21</v>
      </c>
      <c r="F12" s="118" t="s">
        <v>22</v>
      </c>
      <c r="G12" s="113" t="s">
        <v>23</v>
      </c>
      <c r="H12" s="114"/>
      <c r="I12" s="113" t="s">
        <v>24</v>
      </c>
      <c r="J12" s="114"/>
      <c r="K12" s="113" t="s">
        <v>25</v>
      </c>
      <c r="L12" s="114"/>
      <c r="M12" s="113" t="s">
        <v>26</v>
      </c>
      <c r="N12" s="114"/>
      <c r="O12" s="115" t="s">
        <v>27</v>
      </c>
      <c r="P12" s="116"/>
      <c r="Q12" s="116"/>
      <c r="R12" s="117"/>
    </row>
    <row r="13" spans="2:23" customFormat="1" ht="14.4" x14ac:dyDescent="0.3">
      <c r="B13" s="119"/>
      <c r="C13" s="119"/>
      <c r="D13" s="119"/>
      <c r="E13" s="119"/>
      <c r="F13" s="119"/>
      <c r="G13" s="35" t="s">
        <v>28</v>
      </c>
      <c r="H13" s="35" t="s">
        <v>29</v>
      </c>
      <c r="I13" s="35" t="s">
        <v>30</v>
      </c>
      <c r="J13" s="35" t="s">
        <v>29</v>
      </c>
      <c r="K13" s="35" t="s">
        <v>30</v>
      </c>
      <c r="L13" s="35" t="s">
        <v>29</v>
      </c>
      <c r="M13" s="35" t="s">
        <v>30</v>
      </c>
      <c r="N13" s="35" t="s">
        <v>29</v>
      </c>
      <c r="O13" s="36" t="s">
        <v>31</v>
      </c>
      <c r="P13" s="36" t="s">
        <v>32</v>
      </c>
      <c r="Q13" s="115" t="s">
        <v>33</v>
      </c>
      <c r="R13" s="117"/>
    </row>
    <row r="14" spans="2:23" customFormat="1" ht="14.4" x14ac:dyDescent="0.3">
      <c r="B14" s="37" t="s">
        <v>7</v>
      </c>
      <c r="C14" s="37" t="s">
        <v>8</v>
      </c>
      <c r="D14" s="37" t="s">
        <v>9</v>
      </c>
      <c r="E14" s="37" t="s">
        <v>10</v>
      </c>
      <c r="F14" s="37" t="s">
        <v>11</v>
      </c>
      <c r="G14" s="37" t="s">
        <v>12</v>
      </c>
      <c r="H14" s="37" t="s">
        <v>13</v>
      </c>
      <c r="I14" s="37" t="s">
        <v>14</v>
      </c>
      <c r="J14" s="37" t="s">
        <v>15</v>
      </c>
      <c r="K14" s="37" t="s">
        <v>16</v>
      </c>
      <c r="L14" s="37" t="s">
        <v>17</v>
      </c>
      <c r="M14" s="37" t="s">
        <v>34</v>
      </c>
      <c r="N14" s="37" t="s">
        <v>35</v>
      </c>
      <c r="O14" s="37" t="s">
        <v>36</v>
      </c>
      <c r="P14" s="37" t="s">
        <v>37</v>
      </c>
      <c r="Q14" s="106" t="s">
        <v>38</v>
      </c>
      <c r="R14" s="107"/>
    </row>
    <row r="15" spans="2:23" customFormat="1" ht="14.4" x14ac:dyDescent="0.3">
      <c r="B15" s="44"/>
      <c r="C15" s="108" t="s">
        <v>45</v>
      </c>
      <c r="D15" s="109"/>
      <c r="E15" s="109"/>
      <c r="F15" s="45"/>
      <c r="G15" s="46">
        <v>47</v>
      </c>
      <c r="H15" s="47">
        <v>2206500</v>
      </c>
      <c r="I15" s="46">
        <v>0</v>
      </c>
      <c r="J15" s="47">
        <v>0</v>
      </c>
      <c r="K15" s="46">
        <v>0</v>
      </c>
      <c r="L15" s="47">
        <v>0</v>
      </c>
      <c r="M15" s="46">
        <v>47</v>
      </c>
      <c r="N15" s="47">
        <v>2206500</v>
      </c>
      <c r="O15" s="48"/>
      <c r="P15" s="47">
        <v>1762910733.4172907</v>
      </c>
      <c r="Q15" s="110">
        <v>0</v>
      </c>
      <c r="R15" s="111"/>
    </row>
    <row r="16" spans="2:23" customFormat="1" ht="19.8" customHeight="1" x14ac:dyDescent="0.3">
      <c r="B16" s="19">
        <v>1</v>
      </c>
      <c r="C16" s="30" t="s">
        <v>129</v>
      </c>
      <c r="D16" s="29" t="s">
        <v>65</v>
      </c>
      <c r="E16" s="65" t="s">
        <v>122</v>
      </c>
      <c r="F16" s="87" t="s">
        <v>137</v>
      </c>
      <c r="G16" s="20">
        <v>20</v>
      </c>
      <c r="H16" s="21">
        <v>860000</v>
      </c>
      <c r="I16" s="22"/>
      <c r="J16" s="22"/>
      <c r="K16" s="22"/>
      <c r="L16" s="22"/>
      <c r="M16" s="21">
        <v>20</v>
      </c>
      <c r="N16" s="21">
        <v>860000</v>
      </c>
      <c r="O16" s="21">
        <v>43000</v>
      </c>
      <c r="P16" s="21">
        <v>860000</v>
      </c>
      <c r="Q16" s="104"/>
      <c r="R16" s="105"/>
    </row>
    <row r="17" spans="2:18" customFormat="1" ht="19.8" customHeight="1" x14ac:dyDescent="0.3">
      <c r="B17" s="19">
        <v>2</v>
      </c>
      <c r="C17" s="30" t="s">
        <v>129</v>
      </c>
      <c r="D17" s="29" t="s">
        <v>66</v>
      </c>
      <c r="E17" s="50" t="s">
        <v>123</v>
      </c>
      <c r="F17" s="87" t="s">
        <v>138</v>
      </c>
      <c r="G17" s="20">
        <v>18</v>
      </c>
      <c r="H17" s="21">
        <v>1170000</v>
      </c>
      <c r="I17" s="22"/>
      <c r="J17" s="22"/>
      <c r="K17" s="22"/>
      <c r="L17" s="22"/>
      <c r="M17" s="21">
        <v>18</v>
      </c>
      <c r="N17" s="21">
        <v>1170000</v>
      </c>
      <c r="O17" s="21">
        <v>65000</v>
      </c>
      <c r="P17" s="21">
        <v>1170000</v>
      </c>
      <c r="Q17" s="104"/>
      <c r="R17" s="105"/>
    </row>
    <row r="18" spans="2:18" customFormat="1" ht="19.8" customHeight="1" x14ac:dyDescent="0.3">
      <c r="B18" s="19">
        <v>3</v>
      </c>
      <c r="C18" s="30" t="s">
        <v>139</v>
      </c>
      <c r="D18" s="29" t="s">
        <v>67</v>
      </c>
      <c r="E18" s="31" t="s">
        <v>130</v>
      </c>
      <c r="F18" s="87" t="s">
        <v>134</v>
      </c>
      <c r="G18" s="20">
        <v>2</v>
      </c>
      <c r="H18" s="21">
        <v>50000</v>
      </c>
      <c r="I18" s="22"/>
      <c r="J18" s="22"/>
      <c r="K18" s="22"/>
      <c r="L18" s="22"/>
      <c r="M18" s="21">
        <v>2</v>
      </c>
      <c r="N18" s="21">
        <v>50000</v>
      </c>
      <c r="O18" s="21">
        <v>25000</v>
      </c>
      <c r="P18" s="21">
        <v>50000</v>
      </c>
      <c r="Q18" s="104"/>
      <c r="R18" s="105"/>
    </row>
    <row r="19" spans="2:18" customFormat="1" ht="19.8" customHeight="1" x14ac:dyDescent="0.3">
      <c r="B19" s="19">
        <v>4</v>
      </c>
      <c r="C19" s="30" t="s">
        <v>133</v>
      </c>
      <c r="D19" s="29" t="s">
        <v>68</v>
      </c>
      <c r="E19" s="31" t="s">
        <v>131</v>
      </c>
      <c r="F19" s="87" t="s">
        <v>135</v>
      </c>
      <c r="G19" s="20">
        <v>5</v>
      </c>
      <c r="H19" s="21">
        <v>38500</v>
      </c>
      <c r="I19" s="22"/>
      <c r="J19" s="22"/>
      <c r="K19" s="22"/>
      <c r="L19" s="22"/>
      <c r="M19" s="21">
        <v>5</v>
      </c>
      <c r="N19" s="21">
        <v>38500</v>
      </c>
      <c r="O19" s="21">
        <v>7700</v>
      </c>
      <c r="P19" s="21">
        <v>38500</v>
      </c>
      <c r="Q19" s="104"/>
      <c r="R19" s="105"/>
    </row>
    <row r="20" spans="2:18" customFormat="1" ht="19.8" customHeight="1" x14ac:dyDescent="0.3">
      <c r="B20" s="19">
        <v>5</v>
      </c>
      <c r="C20" s="30" t="s">
        <v>133</v>
      </c>
      <c r="D20" s="29" t="s">
        <v>69</v>
      </c>
      <c r="E20" s="31" t="s">
        <v>132</v>
      </c>
      <c r="F20" s="87" t="s">
        <v>136</v>
      </c>
      <c r="G20" s="20">
        <v>2</v>
      </c>
      <c r="H20" s="21">
        <v>88000</v>
      </c>
      <c r="I20" s="22"/>
      <c r="J20" s="22"/>
      <c r="K20" s="22"/>
      <c r="L20" s="22"/>
      <c r="M20" s="21">
        <v>2</v>
      </c>
      <c r="N20" s="21">
        <v>88000</v>
      </c>
      <c r="O20" s="21">
        <v>44000</v>
      </c>
      <c r="P20" s="21">
        <v>88000</v>
      </c>
      <c r="Q20" s="104"/>
      <c r="R20" s="105"/>
    </row>
    <row r="21" spans="2:18" customFormat="1" ht="14.4" x14ac:dyDescent="0.3"/>
    <row r="22" spans="2:18" customFormat="1" ht="14.4" x14ac:dyDescent="0.3"/>
    <row r="23" spans="2:18" customFormat="1" ht="14.4" x14ac:dyDescent="0.3"/>
    <row r="24" spans="2:18" customFormat="1" ht="14.4" x14ac:dyDescent="0.3"/>
  </sheetData>
  <mergeCells count="29">
    <mergeCell ref="B3:C3"/>
    <mergeCell ref="B12:B13"/>
    <mergeCell ref="B10:R10"/>
    <mergeCell ref="B9:R9"/>
    <mergeCell ref="B8:R8"/>
    <mergeCell ref="D3:F3"/>
    <mergeCell ref="D4:H4"/>
    <mergeCell ref="D5:F5"/>
    <mergeCell ref="G6:G7"/>
    <mergeCell ref="H6:H7"/>
    <mergeCell ref="Q14:R14"/>
    <mergeCell ref="C15:E15"/>
    <mergeCell ref="Q15:R15"/>
    <mergeCell ref="B11:Q11"/>
    <mergeCell ref="I12:J12"/>
    <mergeCell ref="K12:L12"/>
    <mergeCell ref="M12:N12"/>
    <mergeCell ref="O12:R12"/>
    <mergeCell ref="Q13:R13"/>
    <mergeCell ref="C12:C13"/>
    <mergeCell ref="D12:D13"/>
    <mergeCell ref="E12:E13"/>
    <mergeCell ref="F12:F13"/>
    <mergeCell ref="G12:H12"/>
    <mergeCell ref="Q16:R16"/>
    <mergeCell ref="Q17:R17"/>
    <mergeCell ref="Q18:R18"/>
    <mergeCell ref="Q19:R19"/>
    <mergeCell ref="Q20:R20"/>
  </mergeCells>
  <phoneticPr fontId="5" type="noConversion"/>
  <hyperlinks>
    <hyperlink ref="B1" location="Menu!A1" display="MENU" xr:uid="{05CD5DBC-6C04-47BF-8BCC-41CA7BAF9E8F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PN</vt:lpstr>
      <vt:lpstr>PX</vt:lpstr>
      <vt:lpstr>PC</vt:lpstr>
      <vt:lpstr>INV01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KIMVTN</dc:creator>
  <cp:lastModifiedBy>Bui Thi Ngoc  Thuy</cp:lastModifiedBy>
  <dcterms:created xsi:type="dcterms:W3CDTF">2015-10-07T02:23:40Z</dcterms:created>
  <dcterms:modified xsi:type="dcterms:W3CDTF">2025-12-19T02:47:52Z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